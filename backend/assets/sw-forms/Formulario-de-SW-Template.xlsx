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lfredo.perez/Downloads/"/>
    </mc:Choice>
  </mc:AlternateContent>
  <xr:revisionPtr revIDLastSave="0" documentId="13_ncr:1_{4089649F-1959-D041-8717-DAE0ACF09329}" xr6:coauthVersionLast="47" xr6:coauthVersionMax="47" xr10:uidLastSave="{00000000-0000-0000-0000-000000000000}"/>
  <bookViews>
    <workbookView xWindow="0" yWindow="760" windowWidth="28800" windowHeight="15940" xr2:uid="{00000000-000D-0000-FFFF-FFFF00000000}"/>
  </bookViews>
  <sheets>
    <sheet name="Pre-Contabilización" sheetId="1" r:id="rId1"/>
    <sheet name="Practicas Nuevas 2026" sheetId="2" r:id="rId2"/>
  </sheets>
  <definedNames>
    <definedName name="_xlnm._FilterDatabase" localSheetId="1" hidden="1">'Practicas Nuevas 2026'!$C$3:$D$207</definedName>
    <definedName name="CasoI">#REF!</definedName>
    <definedName name="CasoI2">#REF!</definedName>
    <definedName name="CasoM">#REF!</definedName>
    <definedName name="CasoOK">#REF!</definedName>
    <definedName name="Contingencia">#REF!</definedName>
    <definedName name="Escenario_DuracionProyecto">#REF!</definedName>
    <definedName name="FVO_Aprob_DG">#REF!</definedName>
    <definedName name="FVO_Aprob_DM">#REF!</definedName>
    <definedName name="FVO_Aprob_RA">#REF!</definedName>
    <definedName name="FVO_CosteBase">#REF!</definedName>
    <definedName name="FVO_Margen">#REF!</definedName>
    <definedName name="FVO_Porcen_JP">#REF!</definedName>
    <definedName name="FVO_Precio_Recomendado">#REF!</definedName>
    <definedName name="FVO_Prop_Comercial">#REF!</definedName>
    <definedName name="FVO_Subtotal">#REF!</definedName>
    <definedName name="FVO_TotalJornadasEst">#REF!</definedName>
    <definedName name="FVO_Valoracion_Riesgo">#REF!</definedName>
    <definedName name="gastos_Aparte">#REF!</definedName>
    <definedName name="Gastos_Desp">#REF!</definedName>
    <definedName name="gastos_EnCerrado">#REF!</definedName>
    <definedName name="gastos_NoHay">#REF!</definedName>
    <definedName name="Importe_Cont">#REF!</definedName>
    <definedName name="Importe_Garantia">#REF!</definedName>
    <definedName name="Importe_MargenCom">#REF!</definedName>
    <definedName name="incluir_gast_fact_enCerrado">#REF!</definedName>
    <definedName name="Margen">#REF!</definedName>
    <definedName name="MargenComercial">#REF!</definedName>
    <definedName name="Medidas">#REF!</definedName>
    <definedName name="nivel_Aprob_Dos">#REF!</definedName>
    <definedName name="nivel_Aprob_Uno">#REF!</definedName>
    <definedName name="Nivel_Duracion">#REF!</definedName>
    <definedName name="Nivel_JP">#REF!</definedName>
    <definedName name="Nivel_Margen">#REF!</definedName>
    <definedName name="Oferta_Cliente">#REF!</definedName>
    <definedName name="Oferta_Codigo">#REF!</definedName>
    <definedName name="Oferta_Gerente">#REF!</definedName>
    <definedName name="Oferta_Manager_Ppal">#REF!</definedName>
    <definedName name="Oferta_Titulo">#REF!</definedName>
    <definedName name="Opcion">#REF!</definedName>
    <definedName name="Opcion_Aprob_NO_Req">#REF!</definedName>
    <definedName name="Opcion_Aprob_Req">#REF!</definedName>
    <definedName name="opcion_NO">#REF!</definedName>
    <definedName name="opcion_SI">#REF!</definedName>
    <definedName name="Prop_Contingencia">#REF!</definedName>
    <definedName name="Prop_Garantia">#REF!</definedName>
    <definedName name="Prop_GastosDesp">#REF!</definedName>
    <definedName name="Prop_MargenComercial">#REF!</definedName>
    <definedName name="Prop_Total_Oferta">#REF!</definedName>
    <definedName name="riesgo_Alto">#REF!</definedName>
    <definedName name="riesgo_Bajo">#REF!</definedName>
    <definedName name="riesgo_Base">#REF!</definedName>
    <definedName name="riesgo_CasiNulo">#REF!</definedName>
    <definedName name="riesgo_Critico">#REF!</definedName>
    <definedName name="Riesgo_desc">#REF!</definedName>
    <definedName name="Riesgo_Impacto">#REF!</definedName>
    <definedName name="riesgo_Medio">#REF!</definedName>
    <definedName name="Riesgo_valor">#REF!</definedName>
    <definedName name="Riesgos_Roles">#REF!</definedName>
    <definedName name="Rol">#REF!</definedName>
    <definedName name="tarifa_MediaEsfuerzo">#REF!</definedName>
    <definedName name="Tarifas">#REF!</definedName>
    <definedName name="TotalJornadas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x4A6VnhNQEp+M2yWpbk9K8smH5Q=="/>
    </ext>
  </extLst>
</workbook>
</file>

<file path=xl/calcChain.xml><?xml version="1.0" encoding="utf-8"?>
<calcChain xmlns="http://schemas.openxmlformats.org/spreadsheetml/2006/main">
  <c r="F12" i="1" l="1"/>
  <c r="F15" i="1" s="1"/>
  <c r="E11" i="1"/>
  <c r="E15" i="1" s="1"/>
  <c r="G15" i="1"/>
  <c r="D15" i="1"/>
  <c r="C15" i="1"/>
  <c r="H11" i="1"/>
  <c r="H12" i="1" l="1"/>
  <c r="H15" i="1" s="1"/>
</calcChain>
</file>

<file path=xl/sharedStrings.xml><?xml version="1.0" encoding="utf-8"?>
<sst xmlns="http://schemas.openxmlformats.org/spreadsheetml/2006/main" count="430" uniqueCount="228">
  <si>
    <t xml:space="preserve">Cliente a facturar </t>
  </si>
  <si>
    <t>Código de Licencia</t>
  </si>
  <si>
    <t xml:space="preserve">Fecha Aceptación de la oferta </t>
  </si>
  <si>
    <t xml:space="preserve">Código de Mantenimiento </t>
  </si>
  <si>
    <t xml:space="preserve">Fecha de reconocimiento para la Licencia </t>
  </si>
  <si>
    <t xml:space="preserve">Fecha Inicio del mantenimiento </t>
  </si>
  <si>
    <t xml:space="preserve">Fecha Fin del mantenimiento </t>
  </si>
  <si>
    <t>Años a reconocer</t>
  </si>
  <si>
    <t>TIPO DE SW</t>
  </si>
  <si>
    <t>Licencia</t>
  </si>
  <si>
    <t xml:space="preserve">Coste Licencia </t>
  </si>
  <si>
    <t xml:space="preserve">Margen </t>
  </si>
  <si>
    <t xml:space="preserve">Mantenimiento </t>
  </si>
  <si>
    <t xml:space="preserve">Coste Mantenimiento </t>
  </si>
  <si>
    <t>Margen Licencia</t>
  </si>
  <si>
    <t>Práctica</t>
  </si>
  <si>
    <t>SAP S/4 HANA o SAP ECC- License</t>
  </si>
  <si>
    <t>Techdege digitalMonitoring (fka tG! embebido Cloud)- License</t>
  </si>
  <si>
    <t>TOTAL GENERAL</t>
  </si>
  <si>
    <t>COMENTARIOS</t>
  </si>
  <si>
    <t>Tipo SW</t>
  </si>
  <si>
    <t>Practicas</t>
  </si>
  <si>
    <t>Analytics - License</t>
  </si>
  <si>
    <t>Analytics - Maintenance</t>
  </si>
  <si>
    <t>Application, Operation Manager y Focus Run-License</t>
  </si>
  <si>
    <t>Application, Operation Manager y Focus Run-Maintenance</t>
  </si>
  <si>
    <t>ARIBA-License</t>
  </si>
  <si>
    <t>ARIBA-Maintenance</t>
  </si>
  <si>
    <t>AWS AI SERVICES-License</t>
  </si>
  <si>
    <t>AWS AI SERVICES-Maintenance</t>
  </si>
  <si>
    <t>AWS BIG DATA SERVICES-License</t>
  </si>
  <si>
    <t>AWS BIG DATA SERVICES-Maintenance</t>
  </si>
  <si>
    <t>AWS SaaS - License</t>
  </si>
  <si>
    <t>AWS SaaS - Maintenance</t>
  </si>
  <si>
    <t>AZURE AI SERVICES-License</t>
  </si>
  <si>
    <t>AZURE AI SERVICES-Maintenance</t>
  </si>
  <si>
    <t>AZURE BIG DATA SERVICES-License</t>
  </si>
  <si>
    <t>AZURE BIG DATA SERVICES-Maintenance</t>
  </si>
  <si>
    <t>AZURE SaaS (general)-License</t>
  </si>
  <si>
    <t>AZURE SaaS (general)-Maintenance</t>
  </si>
  <si>
    <t>B+ digitalCompliance - SII, SAFT - Maintenance</t>
  </si>
  <si>
    <t>BPC - License</t>
  </si>
  <si>
    <t>BPC - Maintenance</t>
  </si>
  <si>
    <t>Business Intelligence, SAP BO-License</t>
  </si>
  <si>
    <t>Business Intelligence, SAP BO-Maintenance</t>
  </si>
  <si>
    <t>Camunda- License</t>
  </si>
  <si>
    <t>Camunda- Maintenance</t>
  </si>
  <si>
    <t>CELONIS-License</t>
  </si>
  <si>
    <t>CELONIS-Maintenance</t>
  </si>
  <si>
    <t>CLOUDERA-License</t>
  </si>
  <si>
    <t>CLOUDERA-Maintenance</t>
  </si>
  <si>
    <t>CONCUR-License</t>
  </si>
  <si>
    <t>CONCUR-Maintenance</t>
  </si>
  <si>
    <t>Data Warehousing, SAP BW-License</t>
  </si>
  <si>
    <t>Data Warehousing, SAP BW-Maintenance</t>
  </si>
  <si>
    <t>DB&amp;Technology - License</t>
  </si>
  <si>
    <t>DB&amp;Technology - Maintenance</t>
  </si>
  <si>
    <t>EIM-License</t>
  </si>
  <si>
    <t>ESGeo-License</t>
  </si>
  <si>
    <t>ESGeo-Maintenance</t>
  </si>
  <si>
    <t>FieldGlass-License</t>
  </si>
  <si>
    <t>FieldGlass-Maintenance</t>
  </si>
  <si>
    <t>GCP IaaS, AWS IaaS, Azure IaaS-License</t>
  </si>
  <si>
    <t>GCP IaaS, AWS IaaS, Azure IaaS-Maintenance</t>
  </si>
  <si>
    <t>GOLD CLIENT - License</t>
  </si>
  <si>
    <t>GOLD CLIENT - Maintenance</t>
  </si>
  <si>
    <t>GOOGLE AI SERVICES-License</t>
  </si>
  <si>
    <t>GOOGLE AI SERVICES-Maintenance</t>
  </si>
  <si>
    <t>GOOGLE BIG DATA SERVICES-License</t>
  </si>
  <si>
    <t>GOOGLE BIG DATA SERVICES-Maintenance</t>
  </si>
  <si>
    <t>GOOGLE SaaS (general)-License</t>
  </si>
  <si>
    <t>GOOGLE SaaS (general)-Maintenance</t>
  </si>
  <si>
    <t>GRC-License</t>
  </si>
  <si>
    <t>GRC-Maintenance</t>
  </si>
  <si>
    <t>Intelligent Asset Management-License</t>
  </si>
  <si>
    <t>Intelligent Asset Management-Maintenance</t>
  </si>
  <si>
    <t>Mendix - License</t>
  </si>
  <si>
    <t>Mendix - Maintenance</t>
  </si>
  <si>
    <t>MICROSOFT-License</t>
  </si>
  <si>
    <t>MICROSOFT-Maintenance</t>
  </si>
  <si>
    <t>Mulesoft-License</t>
  </si>
  <si>
    <t>Mulesoft-Maintenance</t>
  </si>
  <si>
    <t>Multiresource Schedulling - MRS-License</t>
  </si>
  <si>
    <t>Multiresource Schedulling - MRS-Maintenance</t>
  </si>
  <si>
    <t>Neptune - License</t>
  </si>
  <si>
    <t>Neptune - Maintenance</t>
  </si>
  <si>
    <t>OPENTEXT (Business Center, Document Access)-License</t>
  </si>
  <si>
    <t>OPENTEXT (Business Center, Document Access)-Maintenance</t>
  </si>
  <si>
    <t>OPENTEXT DAM - Maintenance</t>
  </si>
  <si>
    <t>OPENTEXT DAM-Maintenance</t>
  </si>
  <si>
    <t>OPENTEXT Document Presentment - License</t>
  </si>
  <si>
    <t>OPENTEXT Document Presentment - Maintenance</t>
  </si>
  <si>
    <t>OPENTEXT VIM - License</t>
  </si>
  <si>
    <t>OPENTEXT VIM - Maintenance</t>
  </si>
  <si>
    <t>OPENTEXT xECM-License</t>
  </si>
  <si>
    <t>OPENTEXT xECM-Maintenance</t>
  </si>
  <si>
    <t>OpManager- License</t>
  </si>
  <si>
    <t>OpManager- Maintenance</t>
  </si>
  <si>
    <t>ORACLE-License</t>
  </si>
  <si>
    <t>ORACLE-Maintenance</t>
  </si>
  <si>
    <t>PANAYA - License</t>
  </si>
  <si>
    <t>PANAYA - Maintenance</t>
  </si>
  <si>
    <t>PAPM- License</t>
  </si>
  <si>
    <t>PAPM- Maintenance</t>
  </si>
  <si>
    <t>Plan4U-License</t>
  </si>
  <si>
    <t>Plan4U-Maintenance</t>
  </si>
  <si>
    <t>POWER BI-License</t>
  </si>
  <si>
    <t>POWER BI-Maintenance</t>
  </si>
  <si>
    <t>QLIK-License</t>
  </si>
  <si>
    <t>QLIK-Maintenance</t>
  </si>
  <si>
    <t>Riskturn-License</t>
  </si>
  <si>
    <t>Riskturn-Maintenance</t>
  </si>
  <si>
    <t>SAP - TRM Treasury and risk Management- License</t>
  </si>
  <si>
    <t>SAP - TRM Treasury and risk Management- Maintenance</t>
  </si>
  <si>
    <t>SAP C4H - License</t>
  </si>
  <si>
    <t>SAP C4H - Maintenance</t>
  </si>
  <si>
    <t>SAP CAR-License</t>
  </si>
  <si>
    <t>SAP CAR-Maintenance</t>
  </si>
  <si>
    <t>SAP Cloud Platform Portal (addon C4H)-License</t>
  </si>
  <si>
    <t>SAP Cloud Platform Portal (addon C4H)-Maintenance</t>
  </si>
  <si>
    <t>SAP Cloud Technology Solutions- License</t>
  </si>
  <si>
    <t>SAP Digital Manufacturing Cloud-License</t>
  </si>
  <si>
    <t>SAP Digital Manufacturing Cloud-Maintenance</t>
  </si>
  <si>
    <t>SAP eDocument-License</t>
  </si>
  <si>
    <t>SAP eDocument-Maintenance</t>
  </si>
  <si>
    <t>SAP eWM-License</t>
  </si>
  <si>
    <t>SAP eWM-Maintenance</t>
  </si>
  <si>
    <t>SAP HANA (Full Use)-License</t>
  </si>
  <si>
    <t>SAP HANA (Full Use)-Maintenance</t>
  </si>
  <si>
    <t>SAP IBP-License</t>
  </si>
  <si>
    <t>SAP IBP-Maintenance</t>
  </si>
  <si>
    <t>SAP Manufacturing Execution-License</t>
  </si>
  <si>
    <t>SAP Manufacturing Execution-Maintenance</t>
  </si>
  <si>
    <t>SAP MII &amp; PCO-License</t>
  </si>
  <si>
    <t>SAP MII &amp; PCO-Maintenance</t>
  </si>
  <si>
    <t>SAP PDMS-License</t>
  </si>
  <si>
    <t>SAP PDMS-Maintenance</t>
  </si>
  <si>
    <t>SAP PO - License</t>
  </si>
  <si>
    <t>SAP PO - Maintenance</t>
  </si>
  <si>
    <t>SAP S/4 HANA Manufacturing for Production - License</t>
  </si>
  <si>
    <t>SAP S/4 HANA Manufacturing for Production - Maintenance</t>
  </si>
  <si>
    <t>SAP S/4 HANA o SAP ECC- Maintenance</t>
  </si>
  <si>
    <t>SAP® Enterprise Asset Management (SAP EAM)-License</t>
  </si>
  <si>
    <t xml:space="preserve"> </t>
  </si>
  <si>
    <t>SAS - License</t>
  </si>
  <si>
    <t>SAS - Maintenance</t>
  </si>
  <si>
    <t>SCP - License</t>
  </si>
  <si>
    <t>SCP - Maintenance</t>
  </si>
  <si>
    <t>SCP Integration Suite - License</t>
  </si>
  <si>
    <t>SCP Integration Suite - Maintenance</t>
  </si>
  <si>
    <t>SCP Leonardo Machine Learning-License</t>
  </si>
  <si>
    <t>SCP Leonardo Machine Learning-Maintenace</t>
  </si>
  <si>
    <t>Serrala - Finance Apps-License</t>
  </si>
  <si>
    <t>Serrala - Finance Apps-Maintenance</t>
  </si>
  <si>
    <t>Skywind - License</t>
  </si>
  <si>
    <t>Skywind - Maintenance</t>
  </si>
  <si>
    <t>SMARTSHIFT - License</t>
  </si>
  <si>
    <t>SMARTSHIFT - Maintenance</t>
  </si>
  <si>
    <t>SNP DPM - License</t>
  </si>
  <si>
    <t>SNP DPM - Maintenance</t>
  </si>
  <si>
    <t>SNP IFS - License</t>
  </si>
  <si>
    <t>SNP IFS - Maintenance</t>
  </si>
  <si>
    <t>SNP NZD - License</t>
  </si>
  <si>
    <t>SNP NZD - Maintenance</t>
  </si>
  <si>
    <t>SNP T-Bone - License</t>
  </si>
  <si>
    <t>SNP T-Bone - Maintenance</t>
  </si>
  <si>
    <t>Sturnis365-License</t>
  </si>
  <si>
    <t>Sturnis365-Maintenance</t>
  </si>
  <si>
    <t>Success Factors- License</t>
  </si>
  <si>
    <t>Success Factors- Maintenance</t>
  </si>
  <si>
    <t>TCI - License</t>
  </si>
  <si>
    <t>TCI - Maintenance</t>
  </si>
  <si>
    <t>Techdege CCI Tools - License</t>
  </si>
  <si>
    <t>Techdege CCI Tools - Maintenance</t>
  </si>
  <si>
    <t>tG! BSM, AM y SD - License</t>
  </si>
  <si>
    <t>tG! BSM, AM y SD - Maintenace</t>
  </si>
  <si>
    <t>tG! IM3 - License</t>
  </si>
  <si>
    <t>tG! IM3 - Maintenance</t>
  </si>
  <si>
    <t>tG! SyncAssist - License</t>
  </si>
  <si>
    <t>tG! SyncAssist - Maintenance</t>
  </si>
  <si>
    <t>tG! Transport Manager - License</t>
  </si>
  <si>
    <t>tG! Transport Manager - Maintenance</t>
  </si>
  <si>
    <t>TRUSTBROKER - License</t>
  </si>
  <si>
    <t>TRUSTBROKER - Maintenance</t>
  </si>
  <si>
    <t>UI Path-License</t>
  </si>
  <si>
    <t>UI Path-Maintenance</t>
  </si>
  <si>
    <t>VirtualForge CodeProfiler - License</t>
  </si>
  <si>
    <t>VirtualForge CodeProfiler - Maintenance</t>
  </si>
  <si>
    <t>XPANDION - License</t>
  </si>
  <si>
    <t>XPANDION - Maintenance</t>
  </si>
  <si>
    <t>tG! HD - License</t>
  </si>
  <si>
    <t>tG! HD - Maintenance</t>
  </si>
  <si>
    <t>SFSF License CCP- ESP_20_0622</t>
  </si>
  <si>
    <t>REVENUES VAR ESP VS ITA</t>
  </si>
  <si>
    <t>Vinipad - Licence</t>
  </si>
  <si>
    <t>Vinipad- Maintenance</t>
  </si>
  <si>
    <t>100%RUN</t>
  </si>
  <si>
    <t>100%GROW</t>
  </si>
  <si>
    <t>100%SAIBORG</t>
  </si>
  <si>
    <t>100%YUBIQ</t>
  </si>
  <si>
    <t>100%WISE</t>
  </si>
  <si>
    <t>YUBIQ ApiBank-License</t>
  </si>
  <si>
    <t>YUBIQ ApiBank-Maintenance</t>
  </si>
  <si>
    <t>YUBIQ BI Core - License</t>
  </si>
  <si>
    <t>YUBIQ BI Core - Maintenance</t>
  </si>
  <si>
    <t>YUBIQ CMIS Connector - License</t>
  </si>
  <si>
    <t>YUBIQ CMIS Connector - Maintenance</t>
  </si>
  <si>
    <t>YUBIQ digitalCompliance - electronicInvoice- License</t>
  </si>
  <si>
    <t>YUBIQ digitalCompliance - electronic Invoice - Maintenance</t>
  </si>
  <si>
    <t>YUBIQ digitalCompliance - HCMTools - License</t>
  </si>
  <si>
    <t>YUBIQ digitalCompliance - HCMTools - Maintenance</t>
  </si>
  <si>
    <t>YUBIQ digitalCompliance - SII, SAFT - License</t>
  </si>
  <si>
    <t>YUBIQ digitalCompliance - SII, SAFT - Maintenance</t>
  </si>
  <si>
    <t>YUBIQ digitalCustomer (fka customerPortal) - License</t>
  </si>
  <si>
    <t>YUBIQ digitalCustomer (fka customerPortal) - Maintenance</t>
  </si>
  <si>
    <t>YUBIQ digitalExpenses (fka Gastos de Viaje)-License</t>
  </si>
  <si>
    <t>YUBIQ digitalExpenses (fka Gastos de Viaje)-Maintenance</t>
  </si>
  <si>
    <t>YUBIQ digitalRecord (fka eFolder) - technical framework- License</t>
  </si>
  <si>
    <t>YUBIQ digitalRecord (fka eFolder) - technical framework- Maintenance</t>
  </si>
  <si>
    <t>YUBIQ digitalRecord (fka eFolder) - verticales O&amp;L- License</t>
  </si>
  <si>
    <t>YUBIQ digitalRecord (fka eFolder) - verticales O&amp;L- Maintenance</t>
  </si>
  <si>
    <t>YUBIQ digitalRecord (fka eFolder) - verticales ext O&amp;L</t>
  </si>
  <si>
    <t>YUBIQ digitalSupplier (fka supplierPortal) - License</t>
  </si>
  <si>
    <t>YUBIQ digitalSupplier (fka supplierPortal) - Maintenance</t>
  </si>
  <si>
    <t>YUBIQ Silicie - License</t>
  </si>
  <si>
    <t>YUBIQ Silicie - Maintenance</t>
  </si>
  <si>
    <t>YUBIQ TicketBai-License</t>
  </si>
  <si>
    <t>YUBIQ SII SAS -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</si>
</sst>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409]d\-mmm\-yy"/>
    <numFmt numFmtId="166" formatCode="_-* #,##0.00\ [$€-C0A]_-;\-* #,##0.00\ [$€-C0A]_-;_-* &quot;-&quot;??\ [$€-C0A]_-;_-@"/>
  </numFmts>
  <fonts count="11" x14ac:knownFonts="1">
    <font>
      <sz val="11"/>
      <color theme="1"/>
      <name val="Calibri"/>
      <scheme val="minor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0"/>
      <color rgb="FF3F3F3F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97887"/>
        <bgColor rgb="FF597887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165" fontId="4" fillId="3" borderId="1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vertical="center"/>
    </xf>
    <xf numFmtId="164" fontId="4" fillId="3" borderId="2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1" fontId="4" fillId="3" borderId="1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6" fontId="4" fillId="3" borderId="1" xfId="0" applyNumberFormat="1" applyFont="1" applyFill="1" applyBorder="1" applyAlignment="1">
      <alignment horizontal="left" vertical="center"/>
    </xf>
    <xf numFmtId="166" fontId="4" fillId="3" borderId="1" xfId="0" applyNumberFormat="1" applyFont="1" applyFill="1" applyBorder="1" applyAlignment="1">
      <alignment vertical="center"/>
    </xf>
    <xf numFmtId="166" fontId="6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6" fontId="4" fillId="3" borderId="2" xfId="0" applyNumberFormat="1" applyFont="1" applyFill="1" applyBorder="1" applyAlignment="1">
      <alignment vertical="center"/>
    </xf>
    <xf numFmtId="166" fontId="2" fillId="0" borderId="0" xfId="0" applyNumberFormat="1" applyFont="1" applyAlignment="1">
      <alignment vertical="center"/>
    </xf>
    <xf numFmtId="0" fontId="8" fillId="0" borderId="0" xfId="0" applyFont="1"/>
    <xf numFmtId="0" fontId="9" fillId="0" borderId="0" xfId="0" applyFont="1"/>
    <xf numFmtId="0" fontId="10" fillId="2" borderId="8" xfId="0" applyFont="1" applyFill="1" applyBorder="1" applyAlignment="1">
      <alignment horizontal="center" vertical="center" wrapText="1"/>
    </xf>
    <xf numFmtId="0" fontId="8" fillId="3" borderId="2" xfId="0" applyFont="1" applyFill="1" applyBorder="1"/>
    <xf numFmtId="0" fontId="9" fillId="5" borderId="1" xfId="0" applyFont="1" applyFill="1" applyBorder="1"/>
    <xf numFmtId="9" fontId="4" fillId="5" borderId="1" xfId="0" applyNumberFormat="1" applyFont="1" applyFill="1" applyBorder="1"/>
    <xf numFmtId="0" fontId="9" fillId="3" borderId="1" xfId="0" applyFont="1" applyFill="1" applyBorder="1"/>
    <xf numFmtId="9" fontId="4" fillId="3" borderId="1" xfId="0" applyNumberFormat="1" applyFont="1" applyFill="1" applyBorder="1"/>
    <xf numFmtId="1" fontId="4" fillId="3" borderId="1" xfId="0" applyNumberFormat="1" applyFont="1" applyFill="1" applyBorder="1"/>
    <xf numFmtId="0" fontId="4" fillId="3" borderId="1" xfId="0" applyFont="1" applyFill="1" applyBorder="1"/>
    <xf numFmtId="0" fontId="9" fillId="3" borderId="2" xfId="0" applyFont="1" applyFill="1" applyBorder="1"/>
    <xf numFmtId="0" fontId="4" fillId="0" borderId="1" xfId="0" applyFont="1" applyBorder="1"/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left" vertical="top"/>
    </xf>
    <xf numFmtId="0" fontId="7" fillId="0" borderId="6" xfId="0" applyFont="1" applyBorder="1"/>
    <xf numFmtId="0" fontId="7" fillId="0" borderId="7" xfId="0" applyFont="1" applyBorder="1"/>
  </cellXfs>
  <cellStyles count="1">
    <cellStyle name="Normal" xfId="0" builtinId="0"/>
  </cellStyles>
  <dxfs count="1">
    <dxf>
      <fill>
        <patternFill patternType="solid">
          <fgColor rgb="FFBAD08A"/>
          <bgColor rgb="FFBAD08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46466</xdr:colOff>
      <xdr:row>0</xdr:row>
      <xdr:rowOff>114301</xdr:rowOff>
    </xdr:from>
    <xdr:to>
      <xdr:col>1</xdr:col>
      <xdr:colOff>1904999</xdr:colOff>
      <xdr:row>1</xdr:row>
      <xdr:rowOff>457200</xdr:rowOff>
    </xdr:to>
    <xdr:pic>
      <xdr:nvPicPr>
        <xdr:cNvPr id="3" name="Imagen 2" descr="AVVALE ESPAÑA S.L.U: BusinessBoost | Partner Packages | SAP">
          <a:extLst>
            <a:ext uri="{FF2B5EF4-FFF2-40B4-BE49-F238E27FC236}">
              <a16:creationId xmlns:a16="http://schemas.microsoft.com/office/drawing/2014/main" id="{EF230800-C226-8194-3BB1-D2BDB2834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366" y="114301"/>
          <a:ext cx="1858533" cy="533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1016000</xdr:colOff>
      <xdr:row>1</xdr:row>
      <xdr:rowOff>50800</xdr:rowOff>
    </xdr:from>
    <xdr:to>
      <xdr:col>2</xdr:col>
      <xdr:colOff>2874533</xdr:colOff>
      <xdr:row>1</xdr:row>
      <xdr:rowOff>584199</xdr:rowOff>
    </xdr:to>
    <xdr:pic>
      <xdr:nvPicPr>
        <xdr:cNvPr id="3" name="Imagen 2" descr="AVVALE ESPAÑA S.L.U: BusinessBoost | Partner Packages | SAP">
          <a:extLst>
            <a:ext uri="{FF2B5EF4-FFF2-40B4-BE49-F238E27FC236}">
              <a16:creationId xmlns:a16="http://schemas.microsoft.com/office/drawing/2014/main" id="{38EF8E7B-1268-F644-AA99-A017D4FAA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8100" y="241300"/>
          <a:ext cx="1858533" cy="533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9C5377-E430-B449-96EB-B941A992A2A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4d2e95d-9a25-4f3c-938b-6d7bcfc9a64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>
      <selection activeCell="I7" sqref="I7"/>
    </sheetView>
  </sheetViews>
  <sheetFormatPr baseColWidth="10" defaultColWidth="14.5" defaultRowHeight="15" customHeight="1" x14ac:dyDescent="0.2"/>
  <cols>
    <col min="1" max="1" width="2.83203125" customWidth="1"/>
    <col min="2" max="2" width="36.83203125" customWidth="1"/>
    <col min="3" max="3" width="17.33203125" customWidth="1"/>
    <col min="4" max="4" width="18" customWidth="1"/>
    <col min="5" max="5" width="58.83203125" customWidth="1"/>
    <col min="6" max="6" width="16.33203125" customWidth="1"/>
    <col min="7" max="7" width="17.83203125" customWidth="1"/>
    <col min="8" max="8" width="15.6640625" customWidth="1"/>
    <col min="9" max="9" width="19.33203125" customWidth="1"/>
    <col min="10" max="10" width="40.6640625" customWidth="1"/>
    <col min="11" max="26" width="9.1640625" customWidth="1"/>
  </cols>
  <sheetData>
    <row r="1" spans="1:26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x14ac:dyDescent="0.2">
      <c r="A3" s="1"/>
      <c r="B3" s="3" t="s">
        <v>0</v>
      </c>
      <c r="C3" s="4"/>
      <c r="D3" s="5"/>
      <c r="E3" s="36"/>
      <c r="F3" s="6" t="s">
        <v>1</v>
      </c>
      <c r="G3" s="7"/>
      <c r="H3" s="7"/>
      <c r="I3" s="7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x14ac:dyDescent="0.2">
      <c r="A4" s="1"/>
      <c r="B4" s="3" t="s">
        <v>2</v>
      </c>
      <c r="C4" s="8"/>
      <c r="D4" s="5"/>
      <c r="E4" s="37"/>
      <c r="F4" s="6" t="s">
        <v>3</v>
      </c>
      <c r="G4" s="7"/>
      <c r="H4" s="7"/>
      <c r="I4" s="7"/>
      <c r="J4" s="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 customHeight="1" x14ac:dyDescent="0.2">
      <c r="A5" s="1"/>
      <c r="B5" s="3" t="s">
        <v>4</v>
      </c>
      <c r="C5" s="8"/>
      <c r="D5" s="5"/>
      <c r="E5" s="9"/>
      <c r="F5" s="10"/>
      <c r="G5" s="7"/>
      <c r="H5" s="7"/>
      <c r="I5" s="7"/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x14ac:dyDescent="0.2">
      <c r="A6" s="11"/>
      <c r="B6" s="3" t="s">
        <v>5</v>
      </c>
      <c r="C6" s="8"/>
      <c r="E6" s="9"/>
      <c r="F6" s="9"/>
      <c r="G6" s="9"/>
      <c r="H6" s="9"/>
      <c r="I6" s="9"/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x14ac:dyDescent="0.2">
      <c r="A7" s="11"/>
      <c r="B7" s="3" t="s">
        <v>6</v>
      </c>
      <c r="C7" s="8"/>
      <c r="D7" s="7"/>
      <c r="E7" s="9"/>
      <c r="F7" s="9"/>
      <c r="G7" s="9"/>
      <c r="H7" s="9"/>
      <c r="I7" s="9"/>
      <c r="J7" s="9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x14ac:dyDescent="0.2">
      <c r="A8" s="11"/>
      <c r="B8" s="3" t="s">
        <v>7</v>
      </c>
      <c r="C8" s="12"/>
      <c r="D8" s="7"/>
      <c r="E8" s="9"/>
      <c r="F8" s="9"/>
      <c r="G8" s="9"/>
      <c r="H8" s="9"/>
      <c r="I8" s="9"/>
      <c r="J8" s="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2">
      <c r="A9" s="11"/>
      <c r="B9" s="7"/>
      <c r="C9" s="7"/>
      <c r="D9" s="7"/>
      <c r="E9" s="7"/>
      <c r="F9" s="7"/>
      <c r="G9" s="7"/>
      <c r="H9" s="7"/>
      <c r="I9" s="9"/>
      <c r="J9" s="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 customHeight="1" x14ac:dyDescent="0.2">
      <c r="A10" s="11"/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  <c r="H10" s="13" t="s">
        <v>14</v>
      </c>
      <c r="I10" s="14" t="s">
        <v>15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" x14ac:dyDescent="0.2">
      <c r="A11" s="11"/>
      <c r="B11" s="15" t="s">
        <v>103</v>
      </c>
      <c r="C11" s="16"/>
      <c r="D11" s="17"/>
      <c r="E11" s="17">
        <f t="shared" ref="E11" si="0">C11-D11</f>
        <v>0</v>
      </c>
      <c r="F11" s="17"/>
      <c r="G11" s="17"/>
      <c r="H11" s="17">
        <f t="shared" ref="H11:H12" si="1">F11-G11</f>
        <v>0</v>
      </c>
      <c r="I11" s="1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" x14ac:dyDescent="0.2">
      <c r="A12" s="11"/>
      <c r="B12" s="15" t="s">
        <v>40</v>
      </c>
      <c r="C12" s="16"/>
      <c r="D12" s="17"/>
      <c r="E12" s="17"/>
      <c r="F12" s="17">
        <f>C11*22/100</f>
        <v>0</v>
      </c>
      <c r="G12" s="17">
        <v>0</v>
      </c>
      <c r="H12" s="17">
        <f t="shared" si="1"/>
        <v>0</v>
      </c>
      <c r="I12" s="1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11"/>
      <c r="B13" s="19"/>
      <c r="C13" s="17"/>
      <c r="D13" s="17"/>
      <c r="E13" s="17"/>
      <c r="F13" s="17"/>
      <c r="G13" s="17"/>
      <c r="H13" s="17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"/>
      <c r="B14" s="7"/>
      <c r="C14" s="7"/>
      <c r="D14" s="7"/>
      <c r="E14" s="7"/>
      <c r="F14" s="7"/>
      <c r="G14" s="9"/>
      <c r="H14" s="9"/>
      <c r="I14" s="9"/>
      <c r="J14" s="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1"/>
      <c r="B15" s="21" t="s">
        <v>18</v>
      </c>
      <c r="C15" s="17">
        <f t="shared" ref="C15:H15" si="2">SUM(C11:C13)</f>
        <v>0</v>
      </c>
      <c r="D15" s="17">
        <f t="shared" si="2"/>
        <v>0</v>
      </c>
      <c r="E15" s="17">
        <f t="shared" si="2"/>
        <v>0</v>
      </c>
      <c r="F15" s="17">
        <f t="shared" si="2"/>
        <v>0</v>
      </c>
      <c r="G15" s="17">
        <f t="shared" si="2"/>
        <v>0</v>
      </c>
      <c r="H15" s="17">
        <f t="shared" si="2"/>
        <v>0</v>
      </c>
      <c r="I15" s="22"/>
      <c r="J15" s="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"/>
      <c r="B16" s="7"/>
      <c r="C16" s="7"/>
      <c r="D16" s="7"/>
      <c r="E16" s="7"/>
      <c r="F16" s="7"/>
      <c r="G16" s="7"/>
      <c r="H16" s="7"/>
      <c r="I16" s="7"/>
      <c r="J16" s="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" x14ac:dyDescent="0.2">
      <c r="A17" s="1"/>
      <c r="B17" s="3" t="s">
        <v>19</v>
      </c>
      <c r="C17" s="7"/>
      <c r="D17" s="7"/>
      <c r="E17" s="9"/>
      <c r="F17" s="9"/>
      <c r="G17" s="9"/>
      <c r="H17" s="9"/>
      <c r="I17" s="9"/>
      <c r="J17" s="9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49.5" customHeight="1" x14ac:dyDescent="0.2">
      <c r="A18" s="1"/>
      <c r="B18" s="38"/>
      <c r="C18" s="39"/>
      <c r="D18" s="39"/>
      <c r="E18" s="39"/>
      <c r="F18" s="39"/>
      <c r="G18" s="39"/>
      <c r="H18" s="39"/>
      <c r="I18" s="39"/>
      <c r="J18" s="40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1"/>
      <c r="B22" s="2"/>
      <c r="C22" s="2"/>
      <c r="D22" s="2"/>
      <c r="E22" s="2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18:J18"/>
  </mergeCells>
  <conditionalFormatting sqref="E3:E4">
    <cfRule type="expression" dxfId="0" priority="1">
      <formula>AND($C3="FP_TOT",$D3="TIME_TOTAL")</formula>
    </cfRule>
  </conditionalFormatting>
  <dataValidations count="1">
    <dataValidation type="list" allowBlank="1" showErrorMessage="1" sqref="B13" xr:uid="{00000000-0002-0000-0000-000000000000}">
      <formula1>#REF!</formula1>
    </dataValidation>
  </dataValidations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1000000}">
          <x14:formula1>
            <xm:f>'Practicas Nuevas 2026'!$C$3:$C$207</xm:f>
          </x14:formula1>
          <xm:sqref>B11:B12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B12" workbookViewId="0">
      <selection activeCell="D171" sqref="D171"/>
    </sheetView>
  </sheetViews>
  <sheetFormatPr baseColWidth="10" defaultColWidth="14.5" defaultRowHeight="15" customHeight="1" x14ac:dyDescent="0.2"/>
  <cols>
    <col min="1" max="1" width="3.33203125" customWidth="1"/>
    <col min="2" max="2" width="17.1640625" customWidth="1"/>
    <col min="3" max="3" width="53.33203125" customWidth="1"/>
    <col min="4" max="4" width="123.1640625" customWidth="1"/>
    <col min="5" max="26" width="11.33203125" customWidth="1"/>
  </cols>
  <sheetData>
    <row r="1" spans="1:26" x14ac:dyDescent="0.2">
      <c r="A1" s="24"/>
      <c r="B1" s="24"/>
      <c r="C1" s="25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50.25" customHeight="1" x14ac:dyDescent="0.2">
      <c r="A2" s="24"/>
      <c r="B2" s="24"/>
      <c r="C2" s="25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21" customHeight="1" x14ac:dyDescent="0.2">
      <c r="A3" s="24"/>
      <c r="B3" s="24"/>
      <c r="C3" s="26" t="s">
        <v>20</v>
      </c>
      <c r="D3" s="26" t="s">
        <v>21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x14ac:dyDescent="0.2">
      <c r="A4" s="27"/>
      <c r="B4" s="27"/>
      <c r="C4" s="28" t="s">
        <v>22</v>
      </c>
      <c r="D4" s="29" t="s">
        <v>198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x14ac:dyDescent="0.2">
      <c r="A5" s="27"/>
      <c r="B5" s="27"/>
      <c r="C5" s="30" t="s">
        <v>23</v>
      </c>
      <c r="D5" s="31" t="s">
        <v>196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x14ac:dyDescent="0.2">
      <c r="A6" s="27"/>
      <c r="B6" s="27"/>
      <c r="C6" s="28" t="s">
        <v>24</v>
      </c>
      <c r="D6" s="29" t="s">
        <v>196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x14ac:dyDescent="0.2">
      <c r="A7" s="27"/>
      <c r="B7" s="27"/>
      <c r="C7" s="30" t="s">
        <v>25</v>
      </c>
      <c r="D7" s="31" t="s">
        <v>196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x14ac:dyDescent="0.2">
      <c r="A8" s="27"/>
      <c r="B8" s="27"/>
      <c r="C8" s="30" t="s">
        <v>26</v>
      </c>
      <c r="D8" s="31" t="s">
        <v>197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x14ac:dyDescent="0.2">
      <c r="A9" s="27"/>
      <c r="B9" s="27"/>
      <c r="C9" s="28" t="s">
        <v>27</v>
      </c>
      <c r="D9" s="29" t="s">
        <v>196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x14ac:dyDescent="0.2">
      <c r="A10" s="27"/>
      <c r="B10" s="27"/>
      <c r="C10" s="30" t="s">
        <v>28</v>
      </c>
      <c r="D10" s="31" t="s">
        <v>198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x14ac:dyDescent="0.2">
      <c r="A11" s="27"/>
      <c r="B11" s="27"/>
      <c r="C11" s="28" t="s">
        <v>29</v>
      </c>
      <c r="D11" s="29" t="s">
        <v>198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x14ac:dyDescent="0.2">
      <c r="A12" s="27"/>
      <c r="B12" s="27"/>
      <c r="C12" s="28" t="s">
        <v>30</v>
      </c>
      <c r="D12" s="29" t="s">
        <v>198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x14ac:dyDescent="0.2">
      <c r="A13" s="27"/>
      <c r="B13" s="27"/>
      <c r="C13" s="30" t="s">
        <v>31</v>
      </c>
      <c r="D13" s="31" t="s">
        <v>198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x14ac:dyDescent="0.2">
      <c r="A14" s="27"/>
      <c r="B14" s="27"/>
      <c r="C14" s="30" t="s">
        <v>32</v>
      </c>
      <c r="D14" s="31" t="s">
        <v>198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x14ac:dyDescent="0.2">
      <c r="A15" s="27"/>
      <c r="B15" s="27"/>
      <c r="C15" s="28" t="s">
        <v>33</v>
      </c>
      <c r="D15" s="29" t="s">
        <v>196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x14ac:dyDescent="0.2">
      <c r="A16" s="27"/>
      <c r="B16" s="27"/>
      <c r="C16" s="30" t="s">
        <v>34</v>
      </c>
      <c r="D16" s="31" t="s">
        <v>198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x14ac:dyDescent="0.2">
      <c r="A17" s="27"/>
      <c r="B17" s="27"/>
      <c r="C17" s="28" t="s">
        <v>35</v>
      </c>
      <c r="D17" s="29" t="s">
        <v>198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x14ac:dyDescent="0.2">
      <c r="A18" s="27"/>
      <c r="B18" s="27"/>
      <c r="C18" s="28" t="s">
        <v>36</v>
      </c>
      <c r="D18" s="29" t="s">
        <v>198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x14ac:dyDescent="0.2">
      <c r="A19" s="27"/>
      <c r="B19" s="27"/>
      <c r="C19" s="30" t="s">
        <v>37</v>
      </c>
      <c r="D19" s="31" t="s">
        <v>198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x14ac:dyDescent="0.2">
      <c r="A20" s="27"/>
      <c r="B20" s="27"/>
      <c r="C20" s="28" t="s">
        <v>38</v>
      </c>
      <c r="D20" s="29" t="s">
        <v>196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5.75" customHeight="1" x14ac:dyDescent="0.2">
      <c r="A21" s="27"/>
      <c r="B21" s="27"/>
      <c r="C21" s="30" t="s">
        <v>39</v>
      </c>
      <c r="D21" s="31" t="s">
        <v>196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5.75" customHeight="1" x14ac:dyDescent="0.2">
      <c r="A22" s="27"/>
      <c r="B22" s="27"/>
      <c r="C22" s="30" t="s">
        <v>201</v>
      </c>
      <c r="D22" s="31" t="s">
        <v>199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5.75" customHeight="1" x14ac:dyDescent="0.2">
      <c r="A23" s="27"/>
      <c r="B23" s="27"/>
      <c r="C23" s="30" t="s">
        <v>202</v>
      </c>
      <c r="D23" s="31" t="s">
        <v>199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5.75" customHeight="1" x14ac:dyDescent="0.2">
      <c r="A24" s="27"/>
      <c r="B24" s="27"/>
      <c r="C24" s="30" t="s">
        <v>203</v>
      </c>
      <c r="D24" s="31" t="s">
        <v>198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5.75" customHeight="1" x14ac:dyDescent="0.2">
      <c r="A25" s="27"/>
      <c r="B25" s="27"/>
      <c r="C25" s="28" t="s">
        <v>204</v>
      </c>
      <c r="D25" s="29" t="s">
        <v>198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5.75" customHeight="1" x14ac:dyDescent="0.2">
      <c r="A26" s="27"/>
      <c r="B26" s="27"/>
      <c r="C26" s="30" t="s">
        <v>205</v>
      </c>
      <c r="D26" s="31" t="s">
        <v>199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5.75" customHeight="1" x14ac:dyDescent="0.2">
      <c r="A27" s="27"/>
      <c r="B27" s="27"/>
      <c r="C27" s="30" t="s">
        <v>206</v>
      </c>
      <c r="D27" s="31" t="s">
        <v>199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5.75" customHeight="1" x14ac:dyDescent="0.2">
      <c r="A28" s="27"/>
      <c r="B28" s="27"/>
      <c r="C28" s="30" t="s">
        <v>207</v>
      </c>
      <c r="D28" s="31" t="s">
        <v>199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5.75" customHeight="1" x14ac:dyDescent="0.2">
      <c r="A29" s="27"/>
      <c r="B29" s="27"/>
      <c r="C29" s="30" t="s">
        <v>208</v>
      </c>
      <c r="D29" s="31" t="s">
        <v>199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5.75" customHeight="1" x14ac:dyDescent="0.2">
      <c r="A30" s="27"/>
      <c r="B30" s="27"/>
      <c r="C30" s="28" t="s">
        <v>209</v>
      </c>
      <c r="D30" s="29" t="s">
        <v>199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5.75" customHeight="1" x14ac:dyDescent="0.2">
      <c r="A31" s="27"/>
      <c r="B31" s="27"/>
      <c r="C31" s="30" t="s">
        <v>210</v>
      </c>
      <c r="D31" s="31" t="s">
        <v>199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5.75" customHeight="1" x14ac:dyDescent="0.2">
      <c r="A32" s="27"/>
      <c r="B32" s="27"/>
      <c r="C32" s="28" t="s">
        <v>211</v>
      </c>
      <c r="D32" s="29" t="s">
        <v>199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5.75" customHeight="1" x14ac:dyDescent="0.2">
      <c r="A33" s="27"/>
      <c r="B33" s="27"/>
      <c r="C33" s="28" t="s">
        <v>212</v>
      </c>
      <c r="D33" s="29" t="s">
        <v>199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5.75" customHeight="1" x14ac:dyDescent="0.2">
      <c r="A34" s="27"/>
      <c r="B34" s="27"/>
      <c r="C34" s="28" t="s">
        <v>213</v>
      </c>
      <c r="D34" s="29" t="s">
        <v>199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5.75" customHeight="1" x14ac:dyDescent="0.2">
      <c r="A35" s="27"/>
      <c r="B35" s="27"/>
      <c r="C35" s="30" t="s">
        <v>214</v>
      </c>
      <c r="D35" s="31" t="s">
        <v>199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5.75" customHeight="1" x14ac:dyDescent="0.2">
      <c r="A36" s="27"/>
      <c r="B36" s="27"/>
      <c r="C36" s="30" t="s">
        <v>215</v>
      </c>
      <c r="D36" s="31" t="s">
        <v>199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5.75" customHeight="1" x14ac:dyDescent="0.2">
      <c r="A37" s="27"/>
      <c r="B37" s="27"/>
      <c r="C37" s="28" t="s">
        <v>216</v>
      </c>
      <c r="D37" s="29" t="s">
        <v>199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5.75" customHeight="1" x14ac:dyDescent="0.2">
      <c r="A38" s="27"/>
      <c r="B38" s="27"/>
      <c r="C38" s="28" t="s">
        <v>217</v>
      </c>
      <c r="D38" s="29" t="s">
        <v>197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5.75" customHeight="1" x14ac:dyDescent="0.2">
      <c r="A39" s="27"/>
      <c r="B39" s="27"/>
      <c r="C39" s="28" t="s">
        <v>218</v>
      </c>
      <c r="D39" s="29" t="s">
        <v>197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5.75" customHeight="1" x14ac:dyDescent="0.2">
      <c r="A40" s="27"/>
      <c r="B40" s="27"/>
      <c r="C40" s="28" t="s">
        <v>219</v>
      </c>
      <c r="D40" s="29" t="s">
        <v>197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5.75" customHeight="1" x14ac:dyDescent="0.2">
      <c r="A41" s="27"/>
      <c r="B41" s="27"/>
      <c r="C41" s="28" t="s">
        <v>220</v>
      </c>
      <c r="D41" s="29" t="s">
        <v>197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5.75" customHeight="1" x14ac:dyDescent="0.2">
      <c r="A42" s="27"/>
      <c r="B42" s="27"/>
      <c r="C42" s="30" t="s">
        <v>221</v>
      </c>
      <c r="D42" s="31" t="s">
        <v>197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5.75" customHeight="1" x14ac:dyDescent="0.2">
      <c r="A43" s="27"/>
      <c r="B43" s="27"/>
      <c r="C43" s="30" t="s">
        <v>221</v>
      </c>
      <c r="D43" s="31" t="s">
        <v>197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5.75" customHeight="1" x14ac:dyDescent="0.2">
      <c r="A44" s="27"/>
      <c r="B44" s="27"/>
      <c r="C44" s="30" t="s">
        <v>222</v>
      </c>
      <c r="D44" s="31" t="s">
        <v>199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5.75" customHeight="1" x14ac:dyDescent="0.2">
      <c r="A45" s="27"/>
      <c r="B45" s="27"/>
      <c r="C45" s="28" t="s">
        <v>223</v>
      </c>
      <c r="D45" s="29" t="s">
        <v>199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5.75" customHeight="1" x14ac:dyDescent="0.2">
      <c r="A46" s="27"/>
      <c r="B46" s="27"/>
      <c r="C46" s="30" t="s">
        <v>224</v>
      </c>
      <c r="D46" s="31" t="s">
        <v>199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5.75" customHeight="1" x14ac:dyDescent="0.2">
      <c r="A47" s="27"/>
      <c r="B47" s="27"/>
      <c r="C47" s="30" t="s">
        <v>225</v>
      </c>
      <c r="D47" s="31" t="s">
        <v>199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5.75" customHeight="1" x14ac:dyDescent="0.2">
      <c r="A48" s="27"/>
      <c r="B48" s="27"/>
      <c r="C48" s="28" t="s">
        <v>226</v>
      </c>
      <c r="D48" s="29" t="s">
        <v>199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5.75" customHeight="1" x14ac:dyDescent="0.2">
      <c r="A49" s="27"/>
      <c r="B49" s="27"/>
      <c r="C49" s="30" t="s">
        <v>41</v>
      </c>
      <c r="D49" s="31" t="s">
        <v>200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5.75" customHeight="1" x14ac:dyDescent="0.2">
      <c r="A50" s="27"/>
      <c r="B50" s="27"/>
      <c r="C50" s="28" t="s">
        <v>42</v>
      </c>
      <c r="D50" s="29" t="s">
        <v>200</v>
      </c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5.75" customHeight="1" x14ac:dyDescent="0.2">
      <c r="A51" s="27"/>
      <c r="B51" s="27"/>
      <c r="C51" s="30" t="s">
        <v>43</v>
      </c>
      <c r="D51" s="31" t="s">
        <v>198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5.75" customHeight="1" x14ac:dyDescent="0.2">
      <c r="A52" s="27"/>
      <c r="B52" s="27"/>
      <c r="C52" s="28" t="s">
        <v>44</v>
      </c>
      <c r="D52" s="29" t="s">
        <v>196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5.75" customHeight="1" x14ac:dyDescent="0.2">
      <c r="A53" s="27"/>
      <c r="B53" s="27"/>
      <c r="C53" s="30" t="s">
        <v>45</v>
      </c>
      <c r="D53" s="31" t="s">
        <v>198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5.75" customHeight="1" x14ac:dyDescent="0.2">
      <c r="A54" s="27"/>
      <c r="B54" s="27"/>
      <c r="C54" s="28" t="s">
        <v>46</v>
      </c>
      <c r="D54" s="29" t="s">
        <v>198</v>
      </c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5.75" customHeight="1" x14ac:dyDescent="0.2">
      <c r="A55" s="27"/>
      <c r="B55" s="27"/>
      <c r="C55" s="28" t="s">
        <v>47</v>
      </c>
      <c r="D55" s="29" t="s">
        <v>197</v>
      </c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5.75" customHeight="1" x14ac:dyDescent="0.2">
      <c r="A56" s="27"/>
      <c r="B56" s="27"/>
      <c r="C56" s="30" t="s">
        <v>48</v>
      </c>
      <c r="D56" s="31" t="s">
        <v>197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5.75" customHeight="1" x14ac:dyDescent="0.2">
      <c r="A57" s="27"/>
      <c r="B57" s="27"/>
      <c r="C57" s="30" t="s">
        <v>49</v>
      </c>
      <c r="D57" s="31" t="s">
        <v>198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5.75" customHeight="1" x14ac:dyDescent="0.2">
      <c r="A58" s="27"/>
      <c r="B58" s="27"/>
      <c r="C58" s="28" t="s">
        <v>50</v>
      </c>
      <c r="D58" s="29" t="s">
        <v>198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5.75" customHeight="1" x14ac:dyDescent="0.2">
      <c r="A59" s="27"/>
      <c r="B59" s="27"/>
      <c r="C59" s="28" t="s">
        <v>51</v>
      </c>
      <c r="D59" s="29" t="s">
        <v>197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5.75" customHeight="1" x14ac:dyDescent="0.2">
      <c r="A60" s="27"/>
      <c r="B60" s="27"/>
      <c r="C60" s="30" t="s">
        <v>52</v>
      </c>
      <c r="D60" s="31" t="s">
        <v>197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5.75" customHeight="1" x14ac:dyDescent="0.2">
      <c r="A61" s="27"/>
      <c r="B61" s="27"/>
      <c r="C61" s="28" t="s">
        <v>53</v>
      </c>
      <c r="D61" s="29" t="s">
        <v>198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5.75" customHeight="1" x14ac:dyDescent="0.2">
      <c r="A62" s="27"/>
      <c r="B62" s="27"/>
      <c r="C62" s="30" t="s">
        <v>54</v>
      </c>
      <c r="D62" s="31" t="s">
        <v>196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5.75" customHeight="1" x14ac:dyDescent="0.2">
      <c r="A63" s="27"/>
      <c r="B63" s="27"/>
      <c r="C63" s="30" t="s">
        <v>55</v>
      </c>
      <c r="D63" s="31" t="s">
        <v>196</v>
      </c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5.75" customHeight="1" x14ac:dyDescent="0.2">
      <c r="A64" s="27"/>
      <c r="B64" s="27"/>
      <c r="C64" s="28" t="s">
        <v>56</v>
      </c>
      <c r="D64" s="29" t="s">
        <v>196</v>
      </c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5.75" customHeight="1" x14ac:dyDescent="0.2">
      <c r="A65" s="27"/>
      <c r="B65" s="27"/>
      <c r="C65" s="30" t="s">
        <v>57</v>
      </c>
      <c r="D65" s="31" t="s">
        <v>198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5.75" customHeight="1" x14ac:dyDescent="0.2">
      <c r="A66" s="27"/>
      <c r="B66" s="27"/>
      <c r="C66" s="28" t="s">
        <v>57</v>
      </c>
      <c r="D66" s="29" t="s">
        <v>196</v>
      </c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5.75" customHeight="1" x14ac:dyDescent="0.2">
      <c r="A67" s="27"/>
      <c r="B67" s="27"/>
      <c r="C67" s="28" t="s">
        <v>58</v>
      </c>
      <c r="D67" s="29" t="s">
        <v>200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5.75" customHeight="1" x14ac:dyDescent="0.2">
      <c r="A68" s="27"/>
      <c r="B68" s="27"/>
      <c r="C68" s="30" t="s">
        <v>59</v>
      </c>
      <c r="D68" s="31" t="s">
        <v>200</v>
      </c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5.75" customHeight="1" x14ac:dyDescent="0.2">
      <c r="A69" s="27"/>
      <c r="B69" s="27"/>
      <c r="C69" s="28" t="s">
        <v>60</v>
      </c>
      <c r="D69" s="29" t="s">
        <v>197</v>
      </c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5.75" customHeight="1" x14ac:dyDescent="0.2">
      <c r="A70" s="27"/>
      <c r="B70" s="27"/>
      <c r="C70" s="30" t="s">
        <v>61</v>
      </c>
      <c r="D70" s="31" t="s">
        <v>196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5.75" customHeight="1" x14ac:dyDescent="0.2">
      <c r="A71" s="27"/>
      <c r="B71" s="27"/>
      <c r="C71" s="28" t="s">
        <v>62</v>
      </c>
      <c r="D71" s="29" t="s">
        <v>196</v>
      </c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5.75" customHeight="1" x14ac:dyDescent="0.2">
      <c r="A72" s="27"/>
      <c r="B72" s="27"/>
      <c r="C72" s="30" t="s">
        <v>63</v>
      </c>
      <c r="D72" s="31" t="s">
        <v>196</v>
      </c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5.75" customHeight="1" x14ac:dyDescent="0.2">
      <c r="A73" s="27"/>
      <c r="B73" s="27"/>
      <c r="C73" s="28" t="s">
        <v>64</v>
      </c>
      <c r="D73" s="29" t="s">
        <v>196</v>
      </c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5.75" customHeight="1" x14ac:dyDescent="0.2">
      <c r="A74" s="27"/>
      <c r="B74" s="27"/>
      <c r="C74" s="30" t="s">
        <v>65</v>
      </c>
      <c r="D74" s="31" t="s">
        <v>196</v>
      </c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5.75" customHeight="1" x14ac:dyDescent="0.2">
      <c r="A75" s="27"/>
      <c r="B75" s="27"/>
      <c r="C75" s="28" t="s">
        <v>66</v>
      </c>
      <c r="D75" s="29" t="s">
        <v>198</v>
      </c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5.75" customHeight="1" x14ac:dyDescent="0.2">
      <c r="A76" s="27"/>
      <c r="B76" s="27"/>
      <c r="C76" s="30" t="s">
        <v>67</v>
      </c>
      <c r="D76" s="31" t="s">
        <v>198</v>
      </c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5.75" customHeight="1" x14ac:dyDescent="0.2">
      <c r="A77" s="27"/>
      <c r="B77" s="27"/>
      <c r="C77" s="30" t="s">
        <v>68</v>
      </c>
      <c r="D77" s="31" t="s">
        <v>198</v>
      </c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4.25" customHeight="1" x14ac:dyDescent="0.2">
      <c r="A78" s="27"/>
      <c r="B78" s="27"/>
      <c r="C78" s="28" t="s">
        <v>69</v>
      </c>
      <c r="D78" s="29" t="s">
        <v>198</v>
      </c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5.75" customHeight="1" x14ac:dyDescent="0.2">
      <c r="A79" s="27"/>
      <c r="B79" s="27"/>
      <c r="C79" s="30" t="s">
        <v>70</v>
      </c>
      <c r="D79" s="31" t="s">
        <v>196</v>
      </c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5.75" customHeight="1" x14ac:dyDescent="0.2">
      <c r="A80" s="27"/>
      <c r="B80" s="27"/>
      <c r="C80" s="28" t="s">
        <v>71</v>
      </c>
      <c r="D80" s="29" t="s">
        <v>196</v>
      </c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5.75" customHeight="1" x14ac:dyDescent="0.2">
      <c r="A81" s="27"/>
      <c r="B81" s="27"/>
      <c r="C81" s="28" t="s">
        <v>72</v>
      </c>
      <c r="D81" s="29" t="s">
        <v>197</v>
      </c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5.75" customHeight="1" x14ac:dyDescent="0.2">
      <c r="A82" s="27"/>
      <c r="B82" s="27"/>
      <c r="C82" s="30" t="s">
        <v>73</v>
      </c>
      <c r="D82" s="31" t="s">
        <v>196</v>
      </c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5.75" customHeight="1" x14ac:dyDescent="0.2">
      <c r="A83" s="27"/>
      <c r="B83" s="27"/>
      <c r="C83" s="30" t="s">
        <v>74</v>
      </c>
      <c r="D83" s="31" t="s">
        <v>197</v>
      </c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5.75" customHeight="1" x14ac:dyDescent="0.2">
      <c r="A84" s="27"/>
      <c r="B84" s="27"/>
      <c r="C84" s="28" t="s">
        <v>75</v>
      </c>
      <c r="D84" s="29" t="s">
        <v>196</v>
      </c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5.75" customHeight="1" x14ac:dyDescent="0.2">
      <c r="A85" s="27"/>
      <c r="B85" s="27"/>
      <c r="C85" s="28" t="s">
        <v>76</v>
      </c>
      <c r="D85" s="29" t="s">
        <v>198</v>
      </c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5.75" customHeight="1" x14ac:dyDescent="0.2">
      <c r="A86" s="27"/>
      <c r="B86" s="27"/>
      <c r="C86" s="30" t="s">
        <v>77</v>
      </c>
      <c r="D86" s="31" t="s">
        <v>198</v>
      </c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5.75" customHeight="1" x14ac:dyDescent="0.2">
      <c r="A87" s="27"/>
      <c r="B87" s="27"/>
      <c r="C87" s="28" t="s">
        <v>78</v>
      </c>
      <c r="D87" s="29" t="s">
        <v>198</v>
      </c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5.75" customHeight="1" x14ac:dyDescent="0.2">
      <c r="A88" s="27"/>
      <c r="B88" s="27"/>
      <c r="C88" s="30" t="s">
        <v>79</v>
      </c>
      <c r="D88" s="31" t="s">
        <v>198</v>
      </c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5.75" customHeight="1" x14ac:dyDescent="0.2">
      <c r="A89" s="27"/>
      <c r="B89" s="27"/>
      <c r="C89" s="28" t="s">
        <v>80</v>
      </c>
      <c r="D89" s="29" t="s">
        <v>198</v>
      </c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5.75" customHeight="1" x14ac:dyDescent="0.2">
      <c r="A90" s="27"/>
      <c r="B90" s="27"/>
      <c r="C90" s="30" t="s">
        <v>81</v>
      </c>
      <c r="D90" s="31" t="s">
        <v>198</v>
      </c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5.75" customHeight="1" x14ac:dyDescent="0.2">
      <c r="A91" s="27"/>
      <c r="B91" s="27"/>
      <c r="C91" s="28" t="s">
        <v>82</v>
      </c>
      <c r="D91" s="29" t="s">
        <v>197</v>
      </c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5.75" customHeight="1" x14ac:dyDescent="0.2">
      <c r="A92" s="27"/>
      <c r="B92" s="27"/>
      <c r="C92" s="30" t="s">
        <v>83</v>
      </c>
      <c r="D92" s="31" t="s">
        <v>196</v>
      </c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5.75" customHeight="1" x14ac:dyDescent="0.2">
      <c r="A93" s="27"/>
      <c r="B93" s="27"/>
      <c r="C93" s="30" t="s">
        <v>84</v>
      </c>
      <c r="D93" s="31" t="s">
        <v>197</v>
      </c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5.75" customHeight="1" x14ac:dyDescent="0.2">
      <c r="A94" s="27"/>
      <c r="B94" s="27"/>
      <c r="C94" s="28" t="s">
        <v>85</v>
      </c>
      <c r="D94" s="29" t="s">
        <v>197</v>
      </c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.75" customHeight="1" x14ac:dyDescent="0.2">
      <c r="A95" s="27"/>
      <c r="B95" s="27"/>
      <c r="C95" s="30" t="s">
        <v>86</v>
      </c>
      <c r="D95" s="31" t="s">
        <v>197</v>
      </c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.75" customHeight="1" x14ac:dyDescent="0.2">
      <c r="A96" s="27"/>
      <c r="B96" s="27"/>
      <c r="C96" s="28" t="s">
        <v>87</v>
      </c>
      <c r="D96" s="29" t="s">
        <v>197</v>
      </c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5.75" customHeight="1" x14ac:dyDescent="0.2">
      <c r="A97" s="27"/>
      <c r="B97" s="27"/>
      <c r="C97" s="30" t="s">
        <v>88</v>
      </c>
      <c r="D97" s="31" t="s">
        <v>197</v>
      </c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5.75" customHeight="1" x14ac:dyDescent="0.2">
      <c r="A98" s="27"/>
      <c r="B98" s="27"/>
      <c r="C98" s="28" t="s">
        <v>89</v>
      </c>
      <c r="D98" s="29" t="s">
        <v>197</v>
      </c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5.75" customHeight="1" x14ac:dyDescent="0.2">
      <c r="A99" s="27"/>
      <c r="B99" s="27"/>
      <c r="C99" s="28" t="s">
        <v>90</v>
      </c>
      <c r="D99" s="29" t="s">
        <v>197</v>
      </c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5.75" customHeight="1" x14ac:dyDescent="0.2">
      <c r="A100" s="27"/>
      <c r="B100" s="27"/>
      <c r="C100" s="30" t="s">
        <v>91</v>
      </c>
      <c r="D100" s="31" t="s">
        <v>197</v>
      </c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5.75" customHeight="1" x14ac:dyDescent="0.2">
      <c r="A101" s="27"/>
      <c r="B101" s="27"/>
      <c r="C101" s="28" t="s">
        <v>92</v>
      </c>
      <c r="D101" s="29" t="s">
        <v>197</v>
      </c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5.75" customHeight="1" x14ac:dyDescent="0.2">
      <c r="A102" s="27"/>
      <c r="B102" s="27"/>
      <c r="C102" s="30" t="s">
        <v>93</v>
      </c>
      <c r="D102" s="31" t="s">
        <v>197</v>
      </c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.75" customHeight="1" x14ac:dyDescent="0.2">
      <c r="A103" s="27"/>
      <c r="B103" s="27"/>
      <c r="C103" s="30" t="s">
        <v>94</v>
      </c>
      <c r="D103" s="31" t="s">
        <v>197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5.75" customHeight="1" x14ac:dyDescent="0.2">
      <c r="A104" s="27"/>
      <c r="B104" s="27"/>
      <c r="C104" s="28" t="s">
        <v>95</v>
      </c>
      <c r="D104" s="29" t="s">
        <v>197</v>
      </c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5.75" customHeight="1" x14ac:dyDescent="0.2">
      <c r="A105" s="27"/>
      <c r="B105" s="27"/>
      <c r="C105" s="30" t="s">
        <v>96</v>
      </c>
      <c r="D105" s="32" t="s">
        <v>196</v>
      </c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.75" customHeight="1" x14ac:dyDescent="0.2">
      <c r="A106" s="27"/>
      <c r="B106" s="27"/>
      <c r="C106" s="30" t="s">
        <v>97</v>
      </c>
      <c r="D106" s="33" t="s">
        <v>196</v>
      </c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5.75" customHeight="1" x14ac:dyDescent="0.2">
      <c r="A107" s="27"/>
      <c r="B107" s="27"/>
      <c r="C107" s="30" t="s">
        <v>98</v>
      </c>
      <c r="D107" s="31" t="s">
        <v>197</v>
      </c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5.75" customHeight="1" x14ac:dyDescent="0.2">
      <c r="A108" s="27"/>
      <c r="B108" s="27"/>
      <c r="C108" s="28" t="s">
        <v>99</v>
      </c>
      <c r="D108" s="29" t="s">
        <v>197</v>
      </c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5.75" customHeight="1" x14ac:dyDescent="0.2">
      <c r="A109" s="27"/>
      <c r="B109" s="27"/>
      <c r="C109" s="28" t="s">
        <v>100</v>
      </c>
      <c r="D109" s="29" t="s">
        <v>197</v>
      </c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5.75" customHeight="1" x14ac:dyDescent="0.2">
      <c r="A110" s="27"/>
      <c r="B110" s="27"/>
      <c r="C110" s="30" t="s">
        <v>101</v>
      </c>
      <c r="D110" s="31" t="s">
        <v>197</v>
      </c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.75" customHeight="1" x14ac:dyDescent="0.2">
      <c r="A111" s="27"/>
      <c r="B111" s="27"/>
      <c r="C111" s="28" t="s">
        <v>102</v>
      </c>
      <c r="D111" s="29" t="s">
        <v>200</v>
      </c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5.75" customHeight="1" x14ac:dyDescent="0.2">
      <c r="A112" s="27"/>
      <c r="B112" s="27"/>
      <c r="C112" s="30" t="s">
        <v>103</v>
      </c>
      <c r="D112" s="31" t="s">
        <v>200</v>
      </c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.75" customHeight="1" x14ac:dyDescent="0.2">
      <c r="A113" s="27"/>
      <c r="B113" s="27"/>
      <c r="C113" s="30" t="s">
        <v>104</v>
      </c>
      <c r="D113" s="31" t="s">
        <v>200</v>
      </c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.75" customHeight="1" x14ac:dyDescent="0.2">
      <c r="A114" s="27"/>
      <c r="B114" s="27"/>
      <c r="C114" s="28" t="s">
        <v>105</v>
      </c>
      <c r="D114" s="29" t="s">
        <v>200</v>
      </c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.75" customHeight="1" x14ac:dyDescent="0.2">
      <c r="A115" s="27"/>
      <c r="B115" s="27"/>
      <c r="C115" s="28" t="s">
        <v>106</v>
      </c>
      <c r="D115" s="29" t="s">
        <v>198</v>
      </c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.75" customHeight="1" x14ac:dyDescent="0.2">
      <c r="A116" s="27"/>
      <c r="B116" s="27"/>
      <c r="C116" s="30" t="s">
        <v>107</v>
      </c>
      <c r="D116" s="31" t="s">
        <v>198</v>
      </c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.75" customHeight="1" x14ac:dyDescent="0.2">
      <c r="A117" s="27"/>
      <c r="B117" s="27"/>
      <c r="C117" s="30" t="s">
        <v>108</v>
      </c>
      <c r="D117" s="31" t="s">
        <v>198</v>
      </c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.75" customHeight="1" x14ac:dyDescent="0.2">
      <c r="A118" s="27"/>
      <c r="B118" s="27"/>
      <c r="C118" s="28" t="s">
        <v>109</v>
      </c>
      <c r="D118" s="29" t="s">
        <v>198</v>
      </c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.75" customHeight="1" x14ac:dyDescent="0.2">
      <c r="A119" s="27"/>
      <c r="B119" s="27"/>
      <c r="C119" s="28" t="s">
        <v>110</v>
      </c>
      <c r="D119" s="29" t="s">
        <v>200</v>
      </c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.75" customHeight="1" x14ac:dyDescent="0.2">
      <c r="A120" s="27"/>
      <c r="B120" s="27"/>
      <c r="C120" s="30" t="s">
        <v>111</v>
      </c>
      <c r="D120" s="31" t="s">
        <v>200</v>
      </c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.75" customHeight="1" x14ac:dyDescent="0.2">
      <c r="A121" s="27"/>
      <c r="B121" s="27"/>
      <c r="C121" s="30" t="s">
        <v>112</v>
      </c>
      <c r="D121" s="31" t="s">
        <v>197</v>
      </c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5.75" customHeight="1" x14ac:dyDescent="0.2">
      <c r="A122" s="27"/>
      <c r="B122" s="27"/>
      <c r="C122" s="28" t="s">
        <v>113</v>
      </c>
      <c r="D122" s="29" t="s">
        <v>197</v>
      </c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.75" customHeight="1" x14ac:dyDescent="0.2">
      <c r="A123" s="27"/>
      <c r="B123" s="27"/>
      <c r="C123" s="30" t="s">
        <v>114</v>
      </c>
      <c r="D123" s="31" t="s">
        <v>197</v>
      </c>
      <c r="E123" s="34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.75" customHeight="1" x14ac:dyDescent="0.2">
      <c r="A124" s="27"/>
      <c r="B124" s="27"/>
      <c r="C124" s="28" t="s">
        <v>115</v>
      </c>
      <c r="D124" s="29" t="s">
        <v>197</v>
      </c>
      <c r="E124" s="34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.75" customHeight="1" x14ac:dyDescent="0.2">
      <c r="A125" s="27"/>
      <c r="B125" s="27"/>
      <c r="C125" s="30" t="s">
        <v>116</v>
      </c>
      <c r="D125" s="31" t="s">
        <v>197</v>
      </c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.75" customHeight="1" x14ac:dyDescent="0.2">
      <c r="A126" s="27"/>
      <c r="B126" s="27"/>
      <c r="C126" s="28" t="s">
        <v>117</v>
      </c>
      <c r="D126" s="29" t="s">
        <v>196</v>
      </c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.75" customHeight="1" x14ac:dyDescent="0.2">
      <c r="A127" s="27"/>
      <c r="B127" s="27"/>
      <c r="C127" s="30" t="s">
        <v>118</v>
      </c>
      <c r="D127" s="31" t="s">
        <v>197</v>
      </c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.75" customHeight="1" x14ac:dyDescent="0.2">
      <c r="A128" s="27"/>
      <c r="B128" s="27"/>
      <c r="C128" s="28" t="s">
        <v>119</v>
      </c>
      <c r="D128" s="29" t="s">
        <v>197</v>
      </c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.75" customHeight="1" x14ac:dyDescent="0.2">
      <c r="A129" s="27"/>
      <c r="B129" s="27"/>
      <c r="C129" s="30" t="s">
        <v>120</v>
      </c>
      <c r="D129" s="31" t="s">
        <v>198</v>
      </c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.75" customHeight="1" x14ac:dyDescent="0.2">
      <c r="A130" s="27"/>
      <c r="B130" s="27"/>
      <c r="C130" s="28" t="s">
        <v>121</v>
      </c>
      <c r="D130" s="29" t="s">
        <v>197</v>
      </c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.75" customHeight="1" x14ac:dyDescent="0.2">
      <c r="A131" s="27"/>
      <c r="B131" s="27"/>
      <c r="C131" s="30" t="s">
        <v>122</v>
      </c>
      <c r="D131" s="31" t="s">
        <v>196</v>
      </c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.75" customHeight="1" x14ac:dyDescent="0.2">
      <c r="A132" s="27"/>
      <c r="B132" s="27"/>
      <c r="C132" s="28" t="s">
        <v>123</v>
      </c>
      <c r="D132" s="29" t="s">
        <v>197</v>
      </c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.75" customHeight="1" x14ac:dyDescent="0.2">
      <c r="A133" s="27"/>
      <c r="B133" s="27"/>
      <c r="C133" s="30" t="s">
        <v>124</v>
      </c>
      <c r="D133" s="31" t="s">
        <v>196</v>
      </c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.75" customHeight="1" x14ac:dyDescent="0.2">
      <c r="A134" s="27"/>
      <c r="B134" s="27"/>
      <c r="C134" s="30" t="s">
        <v>125</v>
      </c>
      <c r="D134" s="31" t="s">
        <v>197</v>
      </c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.75" customHeight="1" x14ac:dyDescent="0.2">
      <c r="A135" s="27"/>
      <c r="B135" s="27"/>
      <c r="C135" s="28" t="s">
        <v>126</v>
      </c>
      <c r="D135" s="29" t="s">
        <v>197</v>
      </c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.75" customHeight="1" x14ac:dyDescent="0.2">
      <c r="A136" s="27"/>
      <c r="B136" s="27"/>
      <c r="C136" s="30" t="s">
        <v>127</v>
      </c>
      <c r="D136" s="31" t="s">
        <v>197</v>
      </c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.75" customHeight="1" x14ac:dyDescent="0.2">
      <c r="A137" s="27"/>
      <c r="B137" s="27"/>
      <c r="C137" s="28" t="s">
        <v>128</v>
      </c>
      <c r="D137" s="29" t="s">
        <v>196</v>
      </c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.75" customHeight="1" x14ac:dyDescent="0.2">
      <c r="A138" s="27"/>
      <c r="B138" s="27"/>
      <c r="C138" s="28" t="s">
        <v>129</v>
      </c>
      <c r="D138" s="29" t="s">
        <v>197</v>
      </c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.75" customHeight="1" x14ac:dyDescent="0.2">
      <c r="A139" s="27"/>
      <c r="B139" s="27"/>
      <c r="C139" s="30" t="s">
        <v>130</v>
      </c>
      <c r="D139" s="31" t="s">
        <v>197</v>
      </c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.75" customHeight="1" x14ac:dyDescent="0.2">
      <c r="A140" s="27"/>
      <c r="B140" s="27"/>
      <c r="C140" s="30" t="s">
        <v>131</v>
      </c>
      <c r="D140" s="31" t="s">
        <v>197</v>
      </c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.75" customHeight="1" x14ac:dyDescent="0.2">
      <c r="A141" s="27"/>
      <c r="B141" s="27"/>
      <c r="C141" s="28" t="s">
        <v>132</v>
      </c>
      <c r="D141" s="29" t="s">
        <v>197</v>
      </c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.75" customHeight="1" x14ac:dyDescent="0.2">
      <c r="A142" s="27"/>
      <c r="B142" s="27"/>
      <c r="C142" s="28" t="s">
        <v>133</v>
      </c>
      <c r="D142" s="29" t="s">
        <v>197</v>
      </c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.75" customHeight="1" x14ac:dyDescent="0.2">
      <c r="A143" s="27"/>
      <c r="B143" s="27"/>
      <c r="C143" s="30" t="s">
        <v>134</v>
      </c>
      <c r="D143" s="31" t="s">
        <v>197</v>
      </c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.75" customHeight="1" x14ac:dyDescent="0.2">
      <c r="A144" s="27"/>
      <c r="B144" s="27"/>
      <c r="C144" s="28" t="s">
        <v>135</v>
      </c>
      <c r="D144" s="29" t="s">
        <v>197</v>
      </c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.75" customHeight="1" x14ac:dyDescent="0.2">
      <c r="A145" s="27"/>
      <c r="B145" s="27"/>
      <c r="C145" s="30" t="s">
        <v>136</v>
      </c>
      <c r="D145" s="31" t="s">
        <v>197</v>
      </c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.75" customHeight="1" x14ac:dyDescent="0.2">
      <c r="A146" s="27"/>
      <c r="B146" s="27"/>
      <c r="C146" s="28" t="s">
        <v>137</v>
      </c>
      <c r="D146" s="29" t="s">
        <v>198</v>
      </c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.75" customHeight="1" x14ac:dyDescent="0.2">
      <c r="A147" s="27"/>
      <c r="B147" s="27"/>
      <c r="C147" s="30" t="s">
        <v>138</v>
      </c>
      <c r="D147" s="31" t="s">
        <v>196</v>
      </c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.75" customHeight="1" x14ac:dyDescent="0.2">
      <c r="A148" s="27"/>
      <c r="B148" s="27"/>
      <c r="C148" s="30" t="s">
        <v>139</v>
      </c>
      <c r="D148" s="31" t="s">
        <v>197</v>
      </c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.75" customHeight="1" x14ac:dyDescent="0.2">
      <c r="A149" s="27"/>
      <c r="B149" s="27"/>
      <c r="C149" s="28" t="s">
        <v>140</v>
      </c>
      <c r="D149" s="29" t="s">
        <v>196</v>
      </c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.75" customHeight="1" x14ac:dyDescent="0.2">
      <c r="A150" s="27"/>
      <c r="B150" s="27"/>
      <c r="C150" s="30" t="s">
        <v>16</v>
      </c>
      <c r="D150" s="31" t="s">
        <v>197</v>
      </c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.75" customHeight="1" x14ac:dyDescent="0.2">
      <c r="A151" s="27"/>
      <c r="B151" s="27"/>
      <c r="C151" s="28" t="s">
        <v>141</v>
      </c>
      <c r="D151" s="29" t="s">
        <v>196</v>
      </c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4.25" customHeight="1" x14ac:dyDescent="0.2">
      <c r="A152" s="27"/>
      <c r="B152" s="27"/>
      <c r="C152" s="28" t="s">
        <v>142</v>
      </c>
      <c r="D152" s="29" t="s">
        <v>197</v>
      </c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4.25" customHeight="1" x14ac:dyDescent="0.2">
      <c r="A153" s="27"/>
      <c r="B153" s="27"/>
      <c r="C153" s="30" t="s">
        <v>143</v>
      </c>
      <c r="D153" s="31" t="s">
        <v>196</v>
      </c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.75" customHeight="1" x14ac:dyDescent="0.2">
      <c r="A154" s="27"/>
      <c r="B154" s="27"/>
      <c r="C154" s="28" t="s">
        <v>144</v>
      </c>
      <c r="D154" s="29" t="s">
        <v>198</v>
      </c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.75" customHeight="1" x14ac:dyDescent="0.2">
      <c r="A155" s="27"/>
      <c r="B155" s="27"/>
      <c r="C155" s="30" t="s">
        <v>145</v>
      </c>
      <c r="D155" s="31" t="s">
        <v>198</v>
      </c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.75" customHeight="1" x14ac:dyDescent="0.2">
      <c r="A156" s="27"/>
      <c r="B156" s="27"/>
      <c r="C156" s="30" t="s">
        <v>146</v>
      </c>
      <c r="D156" s="31" t="s">
        <v>198</v>
      </c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.75" customHeight="1" x14ac:dyDescent="0.2">
      <c r="A157" s="27"/>
      <c r="B157" s="27"/>
      <c r="C157" s="28" t="s">
        <v>147</v>
      </c>
      <c r="D157" s="29" t="s">
        <v>198</v>
      </c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.75" customHeight="1" x14ac:dyDescent="0.2">
      <c r="A158" s="27"/>
      <c r="B158" s="27"/>
      <c r="C158" s="30" t="s">
        <v>148</v>
      </c>
      <c r="D158" s="31" t="s">
        <v>198</v>
      </c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.75" customHeight="1" x14ac:dyDescent="0.2">
      <c r="A159" s="27"/>
      <c r="B159" s="27"/>
      <c r="C159" s="28" t="s">
        <v>149</v>
      </c>
      <c r="D159" s="29" t="s">
        <v>198</v>
      </c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.75" customHeight="1" x14ac:dyDescent="0.2">
      <c r="A160" s="27"/>
      <c r="B160" s="27"/>
      <c r="C160" s="28" t="s">
        <v>150</v>
      </c>
      <c r="D160" s="29" t="s">
        <v>198</v>
      </c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.75" customHeight="1" x14ac:dyDescent="0.2">
      <c r="A161" s="27"/>
      <c r="B161" s="27"/>
      <c r="C161" s="30" t="s">
        <v>151</v>
      </c>
      <c r="D161" s="31" t="s">
        <v>198</v>
      </c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.75" customHeight="1" x14ac:dyDescent="0.2">
      <c r="A162" s="27"/>
      <c r="B162" s="27"/>
      <c r="C162" s="28" t="s">
        <v>152</v>
      </c>
      <c r="D162" s="29" t="s">
        <v>197</v>
      </c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.75" customHeight="1" x14ac:dyDescent="0.2">
      <c r="A163" s="27"/>
      <c r="B163" s="27"/>
      <c r="C163" s="30" t="s">
        <v>153</v>
      </c>
      <c r="D163" s="31" t="s">
        <v>197</v>
      </c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.75" customHeight="1" x14ac:dyDescent="0.2">
      <c r="A164" s="27"/>
      <c r="B164" s="27"/>
      <c r="C164" s="30" t="s">
        <v>154</v>
      </c>
      <c r="D164" s="31" t="s">
        <v>198</v>
      </c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.75" customHeight="1" x14ac:dyDescent="0.2">
      <c r="A165" s="27"/>
      <c r="B165" s="27"/>
      <c r="C165" s="28" t="s">
        <v>155</v>
      </c>
      <c r="D165" s="29" t="s">
        <v>198</v>
      </c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.75" customHeight="1" x14ac:dyDescent="0.2">
      <c r="A166" s="27"/>
      <c r="B166" s="27"/>
      <c r="C166" s="28" t="s">
        <v>156</v>
      </c>
      <c r="D166" s="29" t="s">
        <v>197</v>
      </c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.75" customHeight="1" x14ac:dyDescent="0.2">
      <c r="A167" s="27"/>
      <c r="B167" s="27"/>
      <c r="C167" s="30" t="s">
        <v>157</v>
      </c>
      <c r="D167" s="31" t="s">
        <v>197</v>
      </c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.75" customHeight="1" x14ac:dyDescent="0.2">
      <c r="A168" s="27"/>
      <c r="B168" s="27"/>
      <c r="C168" s="30" t="s">
        <v>158</v>
      </c>
      <c r="D168" s="31" t="s">
        <v>196</v>
      </c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.75" customHeight="1" x14ac:dyDescent="0.2">
      <c r="A169" s="27"/>
      <c r="B169" s="27"/>
      <c r="C169" s="28" t="s">
        <v>159</v>
      </c>
      <c r="D169" s="31" t="s">
        <v>196</v>
      </c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.75" customHeight="1" x14ac:dyDescent="0.2">
      <c r="A170" s="27"/>
      <c r="B170" s="27"/>
      <c r="C170" s="28" t="s">
        <v>160</v>
      </c>
      <c r="D170" s="29" t="s">
        <v>196</v>
      </c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.75" customHeight="1" x14ac:dyDescent="0.2">
      <c r="A171" s="27"/>
      <c r="B171" s="27"/>
      <c r="C171" s="30" t="s">
        <v>161</v>
      </c>
      <c r="D171" s="31" t="s">
        <v>197</v>
      </c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.75" customHeight="1" x14ac:dyDescent="0.2">
      <c r="A172" s="27"/>
      <c r="B172" s="27"/>
      <c r="C172" s="28" t="s">
        <v>162</v>
      </c>
      <c r="D172" s="29" t="s">
        <v>196</v>
      </c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.75" customHeight="1" x14ac:dyDescent="0.2">
      <c r="A173" s="27"/>
      <c r="B173" s="27"/>
      <c r="C173" s="30" t="s">
        <v>163</v>
      </c>
      <c r="D173" s="31" t="s">
        <v>197</v>
      </c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customHeight="1" x14ac:dyDescent="0.2">
      <c r="A174" s="27"/>
      <c r="B174" s="27"/>
      <c r="C174" s="30" t="s">
        <v>164</v>
      </c>
      <c r="D174" s="31" t="s">
        <v>197</v>
      </c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.75" customHeight="1" x14ac:dyDescent="0.2">
      <c r="A175" s="27"/>
      <c r="B175" s="27"/>
      <c r="C175" s="28" t="s">
        <v>165</v>
      </c>
      <c r="D175" s="29" t="s">
        <v>197</v>
      </c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.75" customHeight="1" x14ac:dyDescent="0.2">
      <c r="A176" s="27"/>
      <c r="B176" s="27"/>
      <c r="C176" s="30" t="s">
        <v>166</v>
      </c>
      <c r="D176" s="31" t="s">
        <v>197</v>
      </c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.75" customHeight="1" x14ac:dyDescent="0.2">
      <c r="A177" s="27"/>
      <c r="B177" s="27"/>
      <c r="C177" s="28" t="s">
        <v>167</v>
      </c>
      <c r="D177" s="29" t="s">
        <v>197</v>
      </c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.75" customHeight="1" x14ac:dyDescent="0.2">
      <c r="A178" s="27"/>
      <c r="B178" s="27"/>
      <c r="C178" s="30" t="s">
        <v>168</v>
      </c>
      <c r="D178" s="31" t="s">
        <v>197</v>
      </c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.75" customHeight="1" x14ac:dyDescent="0.2">
      <c r="A179" s="27"/>
      <c r="B179" s="27"/>
      <c r="C179" s="28" t="s">
        <v>169</v>
      </c>
      <c r="D179" s="29" t="s">
        <v>197</v>
      </c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.75" customHeight="1" x14ac:dyDescent="0.2">
      <c r="A180" s="27"/>
      <c r="B180" s="27"/>
      <c r="C180" s="28" t="s">
        <v>170</v>
      </c>
      <c r="D180" s="29" t="s">
        <v>198</v>
      </c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customHeight="1" x14ac:dyDescent="0.2">
      <c r="A181" s="27"/>
      <c r="B181" s="27"/>
      <c r="C181" s="30" t="s">
        <v>171</v>
      </c>
      <c r="D181" s="31" t="s">
        <v>198</v>
      </c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customHeight="1" x14ac:dyDescent="0.2">
      <c r="A182" s="27"/>
      <c r="B182" s="27"/>
      <c r="C182" s="30" t="s">
        <v>172</v>
      </c>
      <c r="D182" s="31" t="s">
        <v>198</v>
      </c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.75" customHeight="1" x14ac:dyDescent="0.2">
      <c r="A183" s="27"/>
      <c r="B183" s="27"/>
      <c r="C183" s="28" t="s">
        <v>173</v>
      </c>
      <c r="D183" s="29" t="s">
        <v>198</v>
      </c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5.75" customHeight="1" x14ac:dyDescent="0.2">
      <c r="A184" s="27"/>
      <c r="B184" s="27"/>
      <c r="C184" s="30" t="s">
        <v>17</v>
      </c>
      <c r="D184" s="31" t="s">
        <v>196</v>
      </c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5.75" customHeight="1" x14ac:dyDescent="0.2">
      <c r="A185" s="27"/>
      <c r="B185" s="27"/>
      <c r="C185" s="30" t="s">
        <v>174</v>
      </c>
      <c r="D185" s="31" t="s">
        <v>196</v>
      </c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5.75" customHeight="1" x14ac:dyDescent="0.2">
      <c r="A186" s="27"/>
      <c r="B186" s="27"/>
      <c r="C186" s="28" t="s">
        <v>175</v>
      </c>
      <c r="D186" s="29" t="s">
        <v>196</v>
      </c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5.75" customHeight="1" x14ac:dyDescent="0.2">
      <c r="A187" s="27"/>
      <c r="B187" s="27"/>
      <c r="C187" s="30" t="s">
        <v>176</v>
      </c>
      <c r="D187" s="31" t="s">
        <v>197</v>
      </c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5.75" customHeight="1" x14ac:dyDescent="0.2">
      <c r="A188" s="27"/>
      <c r="B188" s="27"/>
      <c r="C188" s="28" t="s">
        <v>177</v>
      </c>
      <c r="D188" s="29" t="s">
        <v>197</v>
      </c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5.75" customHeight="1" x14ac:dyDescent="0.2">
      <c r="A189" s="27"/>
      <c r="B189" s="27"/>
      <c r="C189" s="28" t="s">
        <v>178</v>
      </c>
      <c r="D189" s="29" t="s">
        <v>196</v>
      </c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5.75" customHeight="1" x14ac:dyDescent="0.2">
      <c r="A190" s="27"/>
      <c r="B190" s="27"/>
      <c r="C190" s="30" t="s">
        <v>179</v>
      </c>
      <c r="D190" s="31" t="s">
        <v>196</v>
      </c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5.75" customHeight="1" x14ac:dyDescent="0.2">
      <c r="A191" s="27"/>
      <c r="B191" s="27"/>
      <c r="C191" s="28" t="s">
        <v>180</v>
      </c>
      <c r="D191" s="29" t="s">
        <v>196</v>
      </c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5.75" customHeight="1" x14ac:dyDescent="0.2">
      <c r="A192" s="27"/>
      <c r="B192" s="27"/>
      <c r="C192" s="30" t="s">
        <v>181</v>
      </c>
      <c r="D192" s="31" t="s">
        <v>196</v>
      </c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4.25" customHeight="1" x14ac:dyDescent="0.2">
      <c r="A193" s="27"/>
      <c r="B193" s="27"/>
      <c r="C193" s="30" t="s">
        <v>182</v>
      </c>
      <c r="D193" s="31" t="s">
        <v>196</v>
      </c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5.75" customHeight="1" x14ac:dyDescent="0.2">
      <c r="A194" s="27"/>
      <c r="B194" s="27"/>
      <c r="C194" s="28" t="s">
        <v>183</v>
      </c>
      <c r="D194" s="29" t="s">
        <v>196</v>
      </c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5.75" customHeight="1" x14ac:dyDescent="0.2">
      <c r="A195" s="27"/>
      <c r="B195" s="27"/>
      <c r="C195" s="30" t="s">
        <v>184</v>
      </c>
      <c r="D195" s="31" t="s">
        <v>198</v>
      </c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5.75" customHeight="1" x14ac:dyDescent="0.2">
      <c r="A196" s="27"/>
      <c r="B196" s="27"/>
      <c r="C196" s="28" t="s">
        <v>185</v>
      </c>
      <c r="D196" s="29" t="s">
        <v>198</v>
      </c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5.75" customHeight="1" x14ac:dyDescent="0.2">
      <c r="A197" s="27"/>
      <c r="B197" s="27"/>
      <c r="C197" s="28" t="s">
        <v>186</v>
      </c>
      <c r="D197" s="29" t="s">
        <v>197</v>
      </c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5.75" customHeight="1" x14ac:dyDescent="0.2">
      <c r="A198" s="27"/>
      <c r="B198" s="27"/>
      <c r="C198" s="30" t="s">
        <v>187</v>
      </c>
      <c r="D198" s="31" t="s">
        <v>197</v>
      </c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5.75" customHeight="1" x14ac:dyDescent="0.2">
      <c r="A199" s="27"/>
      <c r="B199" s="27"/>
      <c r="C199" s="30" t="s">
        <v>188</v>
      </c>
      <c r="D199" s="31" t="s">
        <v>196</v>
      </c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customHeight="1" x14ac:dyDescent="0.2">
      <c r="A200" s="27"/>
      <c r="B200" s="27"/>
      <c r="C200" s="28" t="s">
        <v>189</v>
      </c>
      <c r="D200" s="29" t="s">
        <v>196</v>
      </c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5.75" customHeight="1" x14ac:dyDescent="0.2">
      <c r="A201" s="27"/>
      <c r="B201" s="27"/>
      <c r="C201" s="30" t="s">
        <v>227</v>
      </c>
      <c r="D201" s="33" t="s">
        <v>199</v>
      </c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5.75" customHeight="1" x14ac:dyDescent="0.2">
      <c r="A202" s="27"/>
      <c r="B202" s="27"/>
      <c r="C202" s="30" t="s">
        <v>190</v>
      </c>
      <c r="D202" s="31" t="s">
        <v>196</v>
      </c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5.75" customHeight="1" x14ac:dyDescent="0.2">
      <c r="A203" s="27"/>
      <c r="B203" s="27"/>
      <c r="C203" s="30" t="s">
        <v>191</v>
      </c>
      <c r="D203" s="31" t="s">
        <v>196</v>
      </c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5.75" customHeight="1" x14ac:dyDescent="0.2">
      <c r="A204" s="27"/>
      <c r="B204" s="27"/>
      <c r="C204" s="33" t="s">
        <v>192</v>
      </c>
      <c r="D204" s="33" t="s">
        <v>197</v>
      </c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5.75" customHeight="1" x14ac:dyDescent="0.2">
      <c r="A205" s="27"/>
      <c r="B205" s="27"/>
      <c r="C205" s="35" t="s">
        <v>193</v>
      </c>
      <c r="D205" s="35" t="s">
        <v>196</v>
      </c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5.75" customHeight="1" x14ac:dyDescent="0.2">
      <c r="A206" s="27"/>
      <c r="B206" s="27"/>
      <c r="C206" s="35" t="s">
        <v>194</v>
      </c>
      <c r="D206" s="35" t="s">
        <v>198</v>
      </c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5.75" customHeight="1" x14ac:dyDescent="0.2">
      <c r="A207" s="27"/>
      <c r="B207" s="27"/>
      <c r="C207" s="35" t="s">
        <v>195</v>
      </c>
      <c r="D207" s="35" t="s">
        <v>198</v>
      </c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5.75" customHeight="1" x14ac:dyDescent="0.2">
      <c r="A208" s="27"/>
      <c r="B208" s="27"/>
      <c r="C208" s="34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5.75" customHeight="1" x14ac:dyDescent="0.2">
      <c r="A209" s="27"/>
      <c r="B209" s="27"/>
      <c r="C209" s="34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5.75" customHeight="1" x14ac:dyDescent="0.2">
      <c r="A210" s="27"/>
      <c r="B210" s="27"/>
      <c r="C210" s="34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customHeight="1" x14ac:dyDescent="0.2">
      <c r="A211" s="27"/>
      <c r="B211" s="27"/>
      <c r="C211" s="34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5.75" customHeight="1" x14ac:dyDescent="0.2">
      <c r="A212" s="27"/>
      <c r="B212" s="27"/>
      <c r="C212" s="34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5.75" customHeight="1" x14ac:dyDescent="0.2">
      <c r="A213" s="27"/>
      <c r="B213" s="27"/>
      <c r="C213" s="34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5.75" customHeight="1" x14ac:dyDescent="0.2">
      <c r="A214" s="27"/>
      <c r="B214" s="27"/>
      <c r="C214" s="34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5.75" customHeight="1" x14ac:dyDescent="0.2">
      <c r="A215" s="27"/>
      <c r="B215" s="27"/>
      <c r="C215" s="34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5.75" customHeight="1" x14ac:dyDescent="0.2">
      <c r="A216" s="27"/>
      <c r="B216" s="27"/>
      <c r="C216" s="34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5.75" customHeight="1" x14ac:dyDescent="0.2">
      <c r="A217" s="27"/>
      <c r="B217" s="27"/>
      <c r="C217" s="34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5.75" customHeight="1" x14ac:dyDescent="0.2">
      <c r="A218" s="27"/>
      <c r="B218" s="27"/>
      <c r="C218" s="34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5.75" customHeight="1" x14ac:dyDescent="0.2">
      <c r="A219" s="27"/>
      <c r="B219" s="27"/>
      <c r="C219" s="34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5.75" customHeight="1" x14ac:dyDescent="0.2">
      <c r="A220" s="27"/>
      <c r="B220" s="27"/>
      <c r="C220" s="34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customHeight="1" x14ac:dyDescent="0.2">
      <c r="A221" s="27"/>
      <c r="B221" s="27"/>
      <c r="C221" s="34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customHeight="1" x14ac:dyDescent="0.2">
      <c r="A222" s="27"/>
      <c r="B222" s="27"/>
      <c r="C222" s="34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5.75" customHeight="1" x14ac:dyDescent="0.2">
      <c r="A223" s="27"/>
      <c r="B223" s="27"/>
      <c r="C223" s="34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5.75" customHeight="1" x14ac:dyDescent="0.2">
      <c r="A224" s="27"/>
      <c r="B224" s="27"/>
      <c r="C224" s="34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5.75" customHeight="1" x14ac:dyDescent="0.2">
      <c r="A225" s="27"/>
      <c r="B225" s="27"/>
      <c r="C225" s="34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5.75" customHeight="1" x14ac:dyDescent="0.2">
      <c r="A226" s="27"/>
      <c r="B226" s="27"/>
      <c r="C226" s="34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customHeight="1" x14ac:dyDescent="0.2">
      <c r="A227" s="27"/>
      <c r="B227" s="27"/>
      <c r="C227" s="34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5.75" customHeight="1" x14ac:dyDescent="0.2">
      <c r="A228" s="27"/>
      <c r="B228" s="27"/>
      <c r="C228" s="34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5.75" customHeight="1" x14ac:dyDescent="0.2">
      <c r="A229" s="27"/>
      <c r="B229" s="27"/>
      <c r="C229" s="34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customHeight="1" x14ac:dyDescent="0.2">
      <c r="A230" s="27"/>
      <c r="B230" s="27"/>
      <c r="C230" s="34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5.75" customHeight="1" x14ac:dyDescent="0.2">
      <c r="A231" s="27"/>
      <c r="B231" s="27"/>
      <c r="C231" s="34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5.75" customHeight="1" x14ac:dyDescent="0.2">
      <c r="A232" s="27"/>
      <c r="B232" s="27"/>
      <c r="C232" s="34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5.75" customHeight="1" x14ac:dyDescent="0.2">
      <c r="A233" s="27"/>
      <c r="B233" s="27"/>
      <c r="C233" s="34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5.75" customHeight="1" x14ac:dyDescent="0.2">
      <c r="A234" s="27"/>
      <c r="B234" s="27"/>
      <c r="C234" s="34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customHeight="1" x14ac:dyDescent="0.2">
      <c r="A235" s="27"/>
      <c r="B235" s="27"/>
      <c r="C235" s="34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5.75" customHeight="1" x14ac:dyDescent="0.2">
      <c r="A236" s="27"/>
      <c r="B236" s="27"/>
      <c r="C236" s="34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5.75" customHeight="1" x14ac:dyDescent="0.2">
      <c r="A237" s="27"/>
      <c r="B237" s="27"/>
      <c r="C237" s="34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customHeight="1" x14ac:dyDescent="0.2">
      <c r="A238" s="27"/>
      <c r="B238" s="27"/>
      <c r="C238" s="34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customHeight="1" x14ac:dyDescent="0.2">
      <c r="A239" s="27"/>
      <c r="B239" s="27"/>
      <c r="C239" s="34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customHeight="1" x14ac:dyDescent="0.2">
      <c r="A240" s="27"/>
      <c r="B240" s="27"/>
      <c r="C240" s="34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customHeight="1" x14ac:dyDescent="0.2">
      <c r="A241" s="27"/>
      <c r="B241" s="27"/>
      <c r="C241" s="34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 x14ac:dyDescent="0.2">
      <c r="A242" s="27"/>
      <c r="B242" s="27"/>
      <c r="C242" s="34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customHeight="1" x14ac:dyDescent="0.2">
      <c r="A243" s="27"/>
      <c r="B243" s="27"/>
      <c r="C243" s="34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customHeight="1" x14ac:dyDescent="0.2">
      <c r="A244" s="27"/>
      <c r="B244" s="27"/>
      <c r="C244" s="34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customHeight="1" x14ac:dyDescent="0.2">
      <c r="A245" s="27"/>
      <c r="B245" s="27"/>
      <c r="C245" s="34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customHeight="1" x14ac:dyDescent="0.2">
      <c r="A246" s="27"/>
      <c r="B246" s="27"/>
      <c r="C246" s="34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customHeight="1" x14ac:dyDescent="0.2">
      <c r="A247" s="27"/>
      <c r="B247" s="27"/>
      <c r="C247" s="34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customHeight="1" x14ac:dyDescent="0.2">
      <c r="A248" s="27"/>
      <c r="B248" s="27"/>
      <c r="C248" s="34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customHeight="1" x14ac:dyDescent="0.2">
      <c r="A249" s="27"/>
      <c r="B249" s="27"/>
      <c r="C249" s="34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customHeight="1" x14ac:dyDescent="0.2">
      <c r="A250" s="27"/>
      <c r="B250" s="27"/>
      <c r="C250" s="34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customHeight="1" x14ac:dyDescent="0.2">
      <c r="A251" s="27"/>
      <c r="B251" s="27"/>
      <c r="C251" s="34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customHeight="1" x14ac:dyDescent="0.2">
      <c r="A252" s="27"/>
      <c r="B252" s="27"/>
      <c r="C252" s="34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customHeight="1" x14ac:dyDescent="0.2">
      <c r="A253" s="27"/>
      <c r="B253" s="27"/>
      <c r="C253" s="34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customHeight="1" x14ac:dyDescent="0.2">
      <c r="A254" s="27"/>
      <c r="B254" s="27"/>
      <c r="C254" s="34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customHeight="1" x14ac:dyDescent="0.2">
      <c r="A255" s="27"/>
      <c r="B255" s="27"/>
      <c r="C255" s="34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customHeight="1" x14ac:dyDescent="0.2">
      <c r="A256" s="27"/>
      <c r="B256" s="27"/>
      <c r="C256" s="34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customHeight="1" x14ac:dyDescent="0.2">
      <c r="A257" s="27"/>
      <c r="B257" s="27"/>
      <c r="C257" s="34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 x14ac:dyDescent="0.2">
      <c r="A258" s="27"/>
      <c r="B258" s="27"/>
      <c r="C258" s="34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customHeight="1" x14ac:dyDescent="0.2">
      <c r="A259" s="27"/>
      <c r="B259" s="27"/>
      <c r="C259" s="34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customHeight="1" x14ac:dyDescent="0.2">
      <c r="A260" s="27"/>
      <c r="B260" s="27"/>
      <c r="C260" s="34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customHeight="1" x14ac:dyDescent="0.2">
      <c r="A261" s="27"/>
      <c r="B261" s="27"/>
      <c r="C261" s="34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customHeight="1" x14ac:dyDescent="0.2">
      <c r="A262" s="27"/>
      <c r="B262" s="27"/>
      <c r="C262" s="34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 x14ac:dyDescent="0.2">
      <c r="A263" s="27"/>
      <c r="B263" s="27"/>
      <c r="C263" s="34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customHeight="1" x14ac:dyDescent="0.2">
      <c r="A264" s="27"/>
      <c r="B264" s="27"/>
      <c r="C264" s="34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customHeight="1" x14ac:dyDescent="0.2">
      <c r="A265" s="27"/>
      <c r="B265" s="27"/>
      <c r="C265" s="34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customHeight="1" x14ac:dyDescent="0.2">
      <c r="A266" s="27"/>
      <c r="B266" s="27"/>
      <c r="C266" s="34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customHeight="1" x14ac:dyDescent="0.2">
      <c r="A267" s="27"/>
      <c r="B267" s="27"/>
      <c r="C267" s="34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customHeight="1" x14ac:dyDescent="0.2">
      <c r="A268" s="27"/>
      <c r="B268" s="27"/>
      <c r="C268" s="34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 x14ac:dyDescent="0.2">
      <c r="A269" s="27"/>
      <c r="B269" s="27"/>
      <c r="C269" s="34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customHeight="1" x14ac:dyDescent="0.2">
      <c r="A270" s="27"/>
      <c r="B270" s="27"/>
      <c r="C270" s="34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customHeight="1" x14ac:dyDescent="0.2">
      <c r="A271" s="27"/>
      <c r="B271" s="27"/>
      <c r="C271" s="34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customHeight="1" x14ac:dyDescent="0.2">
      <c r="A272" s="27"/>
      <c r="B272" s="27"/>
      <c r="C272" s="34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customHeight="1" x14ac:dyDescent="0.2">
      <c r="A273" s="27"/>
      <c r="B273" s="27"/>
      <c r="C273" s="34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customHeight="1" x14ac:dyDescent="0.2">
      <c r="A274" s="27"/>
      <c r="B274" s="27"/>
      <c r="C274" s="34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customHeight="1" x14ac:dyDescent="0.2">
      <c r="A275" s="27"/>
      <c r="B275" s="27"/>
      <c r="C275" s="34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customHeight="1" x14ac:dyDescent="0.2">
      <c r="A276" s="27"/>
      <c r="B276" s="27"/>
      <c r="C276" s="34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customHeight="1" x14ac:dyDescent="0.2">
      <c r="A277" s="27"/>
      <c r="B277" s="27"/>
      <c r="C277" s="34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customHeight="1" x14ac:dyDescent="0.2">
      <c r="A278" s="27"/>
      <c r="B278" s="27"/>
      <c r="C278" s="34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customHeight="1" x14ac:dyDescent="0.2">
      <c r="A279" s="27"/>
      <c r="B279" s="27"/>
      <c r="C279" s="34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customHeight="1" x14ac:dyDescent="0.2">
      <c r="A280" s="27"/>
      <c r="B280" s="27"/>
      <c r="C280" s="34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customHeight="1" x14ac:dyDescent="0.2">
      <c r="A281" s="27"/>
      <c r="B281" s="27"/>
      <c r="C281" s="34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customHeight="1" x14ac:dyDescent="0.2">
      <c r="A282" s="27"/>
      <c r="B282" s="27"/>
      <c r="C282" s="34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5.75" customHeight="1" x14ac:dyDescent="0.2">
      <c r="A283" s="27"/>
      <c r="B283" s="27"/>
      <c r="C283" s="34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customHeight="1" x14ac:dyDescent="0.2">
      <c r="A284" s="27"/>
      <c r="B284" s="27"/>
      <c r="C284" s="34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.75" customHeight="1" x14ac:dyDescent="0.2">
      <c r="A285" s="27"/>
      <c r="B285" s="27"/>
      <c r="C285" s="34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5.75" customHeight="1" x14ac:dyDescent="0.2">
      <c r="A286" s="27"/>
      <c r="B286" s="27"/>
      <c r="C286" s="34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5.75" customHeight="1" x14ac:dyDescent="0.2">
      <c r="A287" s="27"/>
      <c r="B287" s="27"/>
      <c r="C287" s="34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5.75" customHeight="1" x14ac:dyDescent="0.2">
      <c r="A288" s="27"/>
      <c r="B288" s="27"/>
      <c r="C288" s="34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5.75" customHeight="1" x14ac:dyDescent="0.2">
      <c r="A289" s="27"/>
      <c r="B289" s="27"/>
      <c r="C289" s="34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5.75" customHeight="1" x14ac:dyDescent="0.2">
      <c r="A290" s="27"/>
      <c r="B290" s="27"/>
      <c r="C290" s="34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5.75" customHeight="1" x14ac:dyDescent="0.2">
      <c r="A291" s="27"/>
      <c r="B291" s="27"/>
      <c r="C291" s="34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5.75" customHeight="1" x14ac:dyDescent="0.2">
      <c r="A292" s="27"/>
      <c r="B292" s="27"/>
      <c r="C292" s="34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5.75" customHeight="1" x14ac:dyDescent="0.2">
      <c r="A293" s="27"/>
      <c r="B293" s="27"/>
      <c r="C293" s="34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customHeight="1" x14ac:dyDescent="0.2">
      <c r="A294" s="27"/>
      <c r="B294" s="27"/>
      <c r="C294" s="34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customHeight="1" x14ac:dyDescent="0.2">
      <c r="A295" s="27"/>
      <c r="B295" s="27"/>
      <c r="C295" s="34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customHeight="1" x14ac:dyDescent="0.2">
      <c r="A296" s="27"/>
      <c r="B296" s="27"/>
      <c r="C296" s="34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customHeight="1" x14ac:dyDescent="0.2">
      <c r="A297" s="27"/>
      <c r="B297" s="27"/>
      <c r="C297" s="34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customHeight="1" x14ac:dyDescent="0.2">
      <c r="A298" s="27"/>
      <c r="B298" s="27"/>
      <c r="C298" s="34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customHeight="1" x14ac:dyDescent="0.2">
      <c r="A299" s="27"/>
      <c r="B299" s="27"/>
      <c r="C299" s="34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5.75" customHeight="1" x14ac:dyDescent="0.2">
      <c r="A300" s="27"/>
      <c r="B300" s="27"/>
      <c r="C300" s="34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5.75" customHeight="1" x14ac:dyDescent="0.2">
      <c r="A301" s="27"/>
      <c r="B301" s="27"/>
      <c r="C301" s="34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5.75" customHeight="1" x14ac:dyDescent="0.2">
      <c r="A302" s="27"/>
      <c r="B302" s="27"/>
      <c r="C302" s="34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5.75" customHeight="1" x14ac:dyDescent="0.2">
      <c r="A303" s="27"/>
      <c r="B303" s="27"/>
      <c r="C303" s="34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5.75" customHeight="1" x14ac:dyDescent="0.2">
      <c r="A304" s="27"/>
      <c r="B304" s="27"/>
      <c r="C304" s="34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5.75" customHeight="1" x14ac:dyDescent="0.2">
      <c r="A305" s="27"/>
      <c r="B305" s="27"/>
      <c r="C305" s="34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5.75" customHeight="1" x14ac:dyDescent="0.2">
      <c r="A306" s="27"/>
      <c r="B306" s="27"/>
      <c r="C306" s="34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5.75" customHeight="1" x14ac:dyDescent="0.2">
      <c r="A307" s="27"/>
      <c r="B307" s="27"/>
      <c r="C307" s="34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5.75" customHeight="1" x14ac:dyDescent="0.2">
      <c r="A308" s="27"/>
      <c r="B308" s="27"/>
      <c r="C308" s="34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customHeight="1" x14ac:dyDescent="0.2">
      <c r="A309" s="27"/>
      <c r="B309" s="27"/>
      <c r="C309" s="34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5.75" customHeight="1" x14ac:dyDescent="0.2">
      <c r="A310" s="27"/>
      <c r="B310" s="27"/>
      <c r="C310" s="34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5.75" customHeight="1" x14ac:dyDescent="0.2">
      <c r="A311" s="27"/>
      <c r="B311" s="27"/>
      <c r="C311" s="34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5.75" customHeight="1" x14ac:dyDescent="0.2">
      <c r="A312" s="27"/>
      <c r="B312" s="27"/>
      <c r="C312" s="34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5.75" customHeight="1" x14ac:dyDescent="0.2">
      <c r="A313" s="27"/>
      <c r="B313" s="27"/>
      <c r="C313" s="34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5.75" customHeight="1" x14ac:dyDescent="0.2">
      <c r="A314" s="27"/>
      <c r="B314" s="27"/>
      <c r="C314" s="34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5.75" customHeight="1" x14ac:dyDescent="0.2">
      <c r="A315" s="27"/>
      <c r="B315" s="27"/>
      <c r="C315" s="34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5.75" customHeight="1" x14ac:dyDescent="0.2">
      <c r="A316" s="27"/>
      <c r="B316" s="27"/>
      <c r="C316" s="34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5.75" customHeight="1" x14ac:dyDescent="0.2">
      <c r="A317" s="27"/>
      <c r="B317" s="27"/>
      <c r="C317" s="34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5.75" customHeight="1" x14ac:dyDescent="0.2">
      <c r="A318" s="27"/>
      <c r="B318" s="27"/>
      <c r="C318" s="34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5.75" customHeight="1" x14ac:dyDescent="0.2">
      <c r="A319" s="27"/>
      <c r="B319" s="27"/>
      <c r="C319" s="34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5.75" customHeight="1" x14ac:dyDescent="0.2">
      <c r="A320" s="27"/>
      <c r="B320" s="27"/>
      <c r="C320" s="34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5.75" customHeight="1" x14ac:dyDescent="0.2">
      <c r="A321" s="27"/>
      <c r="B321" s="27"/>
      <c r="C321" s="34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5.75" customHeight="1" x14ac:dyDescent="0.2">
      <c r="A322" s="27"/>
      <c r="B322" s="27"/>
      <c r="C322" s="34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5.75" customHeight="1" x14ac:dyDescent="0.2">
      <c r="A323" s="27"/>
      <c r="B323" s="27"/>
      <c r="C323" s="34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5.75" customHeight="1" x14ac:dyDescent="0.2">
      <c r="A324" s="27"/>
      <c r="B324" s="27"/>
      <c r="C324" s="34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5.75" customHeight="1" x14ac:dyDescent="0.2">
      <c r="A325" s="27"/>
      <c r="B325" s="27"/>
      <c r="C325" s="34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5.75" customHeight="1" x14ac:dyDescent="0.2">
      <c r="A326" s="27"/>
      <c r="B326" s="27"/>
      <c r="C326" s="34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5.75" customHeight="1" x14ac:dyDescent="0.2">
      <c r="A327" s="27"/>
      <c r="B327" s="27"/>
      <c r="C327" s="34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5.75" customHeight="1" x14ac:dyDescent="0.2">
      <c r="A328" s="27"/>
      <c r="B328" s="27"/>
      <c r="C328" s="34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5.75" customHeight="1" x14ac:dyDescent="0.2">
      <c r="A329" s="27"/>
      <c r="B329" s="27"/>
      <c r="C329" s="34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5.75" customHeight="1" x14ac:dyDescent="0.2">
      <c r="A330" s="27"/>
      <c r="B330" s="27"/>
      <c r="C330" s="34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5.75" customHeight="1" x14ac:dyDescent="0.2">
      <c r="A331" s="27"/>
      <c r="B331" s="27"/>
      <c r="C331" s="34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5.75" customHeight="1" x14ac:dyDescent="0.2">
      <c r="A332" s="27"/>
      <c r="B332" s="27"/>
      <c r="C332" s="34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5.75" customHeight="1" x14ac:dyDescent="0.2">
      <c r="A333" s="27"/>
      <c r="B333" s="27"/>
      <c r="C333" s="34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5.75" customHeight="1" x14ac:dyDescent="0.2">
      <c r="A334" s="27"/>
      <c r="B334" s="27"/>
      <c r="C334" s="34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5.75" customHeight="1" x14ac:dyDescent="0.2">
      <c r="A335" s="27"/>
      <c r="B335" s="27"/>
      <c r="C335" s="34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5.75" customHeight="1" x14ac:dyDescent="0.2">
      <c r="A336" s="27"/>
      <c r="B336" s="27"/>
      <c r="C336" s="34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5.75" customHeight="1" x14ac:dyDescent="0.2">
      <c r="A337" s="27"/>
      <c r="B337" s="27"/>
      <c r="C337" s="34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5.75" customHeight="1" x14ac:dyDescent="0.2">
      <c r="A338" s="27"/>
      <c r="B338" s="27"/>
      <c r="C338" s="34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5.75" customHeight="1" x14ac:dyDescent="0.2">
      <c r="A339" s="27"/>
      <c r="B339" s="27"/>
      <c r="C339" s="34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5.75" customHeight="1" x14ac:dyDescent="0.2">
      <c r="A340" s="27"/>
      <c r="B340" s="27"/>
      <c r="C340" s="34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5.75" customHeight="1" x14ac:dyDescent="0.2">
      <c r="A341" s="27"/>
      <c r="B341" s="27"/>
      <c r="C341" s="34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5.75" customHeight="1" x14ac:dyDescent="0.2">
      <c r="A342" s="27"/>
      <c r="B342" s="27"/>
      <c r="C342" s="34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5.75" customHeight="1" x14ac:dyDescent="0.2">
      <c r="A343" s="27"/>
      <c r="B343" s="27"/>
      <c r="C343" s="34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5.75" customHeight="1" x14ac:dyDescent="0.2">
      <c r="A344" s="27"/>
      <c r="B344" s="27"/>
      <c r="C344" s="34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5.75" customHeight="1" x14ac:dyDescent="0.2">
      <c r="A345" s="27"/>
      <c r="B345" s="27"/>
      <c r="C345" s="34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5.75" customHeight="1" x14ac:dyDescent="0.2">
      <c r="A346" s="27"/>
      <c r="B346" s="27"/>
      <c r="C346" s="34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5.75" customHeight="1" x14ac:dyDescent="0.2">
      <c r="A347" s="27"/>
      <c r="B347" s="27"/>
      <c r="C347" s="34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5.75" customHeight="1" x14ac:dyDescent="0.2">
      <c r="A348" s="27"/>
      <c r="B348" s="27"/>
      <c r="C348" s="34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5.75" customHeight="1" x14ac:dyDescent="0.2">
      <c r="A349" s="27"/>
      <c r="B349" s="27"/>
      <c r="C349" s="34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5.75" customHeight="1" x14ac:dyDescent="0.2">
      <c r="A350" s="27"/>
      <c r="B350" s="27"/>
      <c r="C350" s="34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5.75" customHeight="1" x14ac:dyDescent="0.2">
      <c r="A351" s="27"/>
      <c r="B351" s="27"/>
      <c r="C351" s="34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5.75" customHeight="1" x14ac:dyDescent="0.2">
      <c r="A352" s="27"/>
      <c r="B352" s="27"/>
      <c r="C352" s="34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5.75" customHeight="1" x14ac:dyDescent="0.2">
      <c r="A353" s="27"/>
      <c r="B353" s="27"/>
      <c r="C353" s="34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5.75" customHeight="1" x14ac:dyDescent="0.2">
      <c r="A354" s="27"/>
      <c r="B354" s="27"/>
      <c r="C354" s="34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5.75" customHeight="1" x14ac:dyDescent="0.2">
      <c r="A355" s="27"/>
      <c r="B355" s="27"/>
      <c r="C355" s="34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5.75" customHeight="1" x14ac:dyDescent="0.2">
      <c r="A356" s="27"/>
      <c r="B356" s="27"/>
      <c r="C356" s="34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5.75" customHeight="1" x14ac:dyDescent="0.2">
      <c r="A357" s="27"/>
      <c r="B357" s="27"/>
      <c r="C357" s="34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5.75" customHeight="1" x14ac:dyDescent="0.2">
      <c r="A358" s="27"/>
      <c r="B358" s="27"/>
      <c r="C358" s="34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5.75" customHeight="1" x14ac:dyDescent="0.2">
      <c r="A359" s="27"/>
      <c r="B359" s="27"/>
      <c r="C359" s="34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5.75" customHeight="1" x14ac:dyDescent="0.2">
      <c r="A360" s="27"/>
      <c r="B360" s="27"/>
      <c r="C360" s="34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5.75" customHeight="1" x14ac:dyDescent="0.2">
      <c r="A361" s="27"/>
      <c r="B361" s="27"/>
      <c r="C361" s="34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5.75" customHeight="1" x14ac:dyDescent="0.2">
      <c r="A362" s="27"/>
      <c r="B362" s="27"/>
      <c r="C362" s="34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5.75" customHeight="1" x14ac:dyDescent="0.2">
      <c r="A363" s="27"/>
      <c r="B363" s="27"/>
      <c r="C363" s="34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5.75" customHeight="1" x14ac:dyDescent="0.2">
      <c r="A364" s="27"/>
      <c r="B364" s="27"/>
      <c r="C364" s="34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5.75" customHeight="1" x14ac:dyDescent="0.2">
      <c r="A365" s="27"/>
      <c r="B365" s="27"/>
      <c r="C365" s="34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5.75" customHeight="1" x14ac:dyDescent="0.2">
      <c r="A366" s="27"/>
      <c r="B366" s="27"/>
      <c r="C366" s="34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5.75" customHeight="1" x14ac:dyDescent="0.2">
      <c r="A367" s="27"/>
      <c r="B367" s="27"/>
      <c r="C367" s="34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5.75" customHeight="1" x14ac:dyDescent="0.2">
      <c r="A368" s="27"/>
      <c r="B368" s="27"/>
      <c r="C368" s="34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5.75" customHeight="1" x14ac:dyDescent="0.2">
      <c r="A369" s="27"/>
      <c r="B369" s="27"/>
      <c r="C369" s="34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5.75" customHeight="1" x14ac:dyDescent="0.2">
      <c r="A370" s="27"/>
      <c r="B370" s="27"/>
      <c r="C370" s="34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5.75" customHeight="1" x14ac:dyDescent="0.2">
      <c r="A371" s="27"/>
      <c r="B371" s="27"/>
      <c r="C371" s="34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5.75" customHeight="1" x14ac:dyDescent="0.2">
      <c r="A372" s="27"/>
      <c r="B372" s="27"/>
      <c r="C372" s="34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5.75" customHeight="1" x14ac:dyDescent="0.2">
      <c r="A373" s="27"/>
      <c r="B373" s="27"/>
      <c r="C373" s="34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5.75" customHeight="1" x14ac:dyDescent="0.2">
      <c r="A374" s="27"/>
      <c r="B374" s="27"/>
      <c r="C374" s="34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5.75" customHeight="1" x14ac:dyDescent="0.2">
      <c r="A375" s="27"/>
      <c r="B375" s="27"/>
      <c r="C375" s="34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5.75" customHeight="1" x14ac:dyDescent="0.2">
      <c r="A376" s="27"/>
      <c r="B376" s="27"/>
      <c r="C376" s="34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5.75" customHeight="1" x14ac:dyDescent="0.2">
      <c r="A377" s="27"/>
      <c r="B377" s="27"/>
      <c r="C377" s="34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5.75" customHeight="1" x14ac:dyDescent="0.2">
      <c r="A378" s="27"/>
      <c r="B378" s="27"/>
      <c r="C378" s="34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5.75" customHeight="1" x14ac:dyDescent="0.2">
      <c r="A379" s="27"/>
      <c r="B379" s="27"/>
      <c r="C379" s="34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5.75" customHeight="1" x14ac:dyDescent="0.2">
      <c r="A380" s="27"/>
      <c r="B380" s="27"/>
      <c r="C380" s="34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5.75" customHeight="1" x14ac:dyDescent="0.2">
      <c r="A381" s="27"/>
      <c r="B381" s="27"/>
      <c r="C381" s="34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5.75" customHeight="1" x14ac:dyDescent="0.2">
      <c r="A382" s="27"/>
      <c r="B382" s="27"/>
      <c r="C382" s="34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5.75" customHeight="1" x14ac:dyDescent="0.2">
      <c r="A383" s="27"/>
      <c r="B383" s="27"/>
      <c r="C383" s="34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5.75" customHeight="1" x14ac:dyDescent="0.2">
      <c r="A384" s="27"/>
      <c r="B384" s="27"/>
      <c r="C384" s="34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5.75" customHeight="1" x14ac:dyDescent="0.2">
      <c r="A385" s="27"/>
      <c r="B385" s="27"/>
      <c r="C385" s="34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5.75" customHeight="1" x14ac:dyDescent="0.2">
      <c r="A386" s="27"/>
      <c r="B386" s="27"/>
      <c r="C386" s="34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5.75" customHeight="1" x14ac:dyDescent="0.2">
      <c r="A387" s="27"/>
      <c r="B387" s="27"/>
      <c r="C387" s="34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5.75" customHeight="1" x14ac:dyDescent="0.2">
      <c r="A388" s="27"/>
      <c r="B388" s="27"/>
      <c r="C388" s="34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5.75" customHeight="1" x14ac:dyDescent="0.2">
      <c r="A389" s="27"/>
      <c r="B389" s="27"/>
      <c r="C389" s="34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5.75" customHeight="1" x14ac:dyDescent="0.2">
      <c r="A390" s="27"/>
      <c r="B390" s="27"/>
      <c r="C390" s="34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5.75" customHeight="1" x14ac:dyDescent="0.2">
      <c r="A391" s="27"/>
      <c r="B391" s="27"/>
      <c r="C391" s="34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5.75" customHeight="1" x14ac:dyDescent="0.2">
      <c r="A392" s="27"/>
      <c r="B392" s="27"/>
      <c r="C392" s="34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5.75" customHeight="1" x14ac:dyDescent="0.2">
      <c r="A393" s="27"/>
      <c r="B393" s="27"/>
      <c r="C393" s="34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5.75" customHeight="1" x14ac:dyDescent="0.2">
      <c r="A394" s="27"/>
      <c r="B394" s="27"/>
      <c r="C394" s="34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5.75" customHeight="1" x14ac:dyDescent="0.2">
      <c r="A395" s="27"/>
      <c r="B395" s="27"/>
      <c r="C395" s="34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5.75" customHeight="1" x14ac:dyDescent="0.2">
      <c r="A396" s="27"/>
      <c r="B396" s="27"/>
      <c r="C396" s="34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5.75" customHeight="1" x14ac:dyDescent="0.2">
      <c r="A397" s="27"/>
      <c r="B397" s="27"/>
      <c r="C397" s="34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5.75" customHeight="1" x14ac:dyDescent="0.2">
      <c r="A398" s="27"/>
      <c r="B398" s="27"/>
      <c r="C398" s="34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5.75" customHeight="1" x14ac:dyDescent="0.2">
      <c r="A399" s="27"/>
      <c r="B399" s="27"/>
      <c r="C399" s="34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5.75" customHeight="1" x14ac:dyDescent="0.2">
      <c r="A400" s="27"/>
      <c r="B400" s="27"/>
      <c r="C400" s="34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5.75" customHeight="1" x14ac:dyDescent="0.2">
      <c r="A401" s="27"/>
      <c r="B401" s="27"/>
      <c r="C401" s="34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5.75" customHeight="1" x14ac:dyDescent="0.2">
      <c r="A402" s="27"/>
      <c r="B402" s="27"/>
      <c r="C402" s="34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5.75" customHeight="1" x14ac:dyDescent="0.2">
      <c r="A403" s="27"/>
      <c r="B403" s="27"/>
      <c r="C403" s="34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5.75" customHeight="1" x14ac:dyDescent="0.2">
      <c r="A404" s="27"/>
      <c r="B404" s="27"/>
      <c r="C404" s="34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5.75" customHeight="1" x14ac:dyDescent="0.2">
      <c r="A405" s="27"/>
      <c r="B405" s="27"/>
      <c r="C405" s="34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5.75" customHeight="1" x14ac:dyDescent="0.2">
      <c r="A406" s="27"/>
      <c r="B406" s="27"/>
      <c r="C406" s="34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5.75" customHeight="1" x14ac:dyDescent="0.2">
      <c r="A407" s="27"/>
      <c r="B407" s="27"/>
      <c r="C407" s="34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5.75" customHeight="1" x14ac:dyDescent="0.2">
      <c r="A408" s="27"/>
      <c r="B408" s="27"/>
      <c r="C408" s="34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5.75" customHeight="1" x14ac:dyDescent="0.2">
      <c r="A409" s="27"/>
      <c r="B409" s="27"/>
      <c r="C409" s="34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5.75" customHeight="1" x14ac:dyDescent="0.2">
      <c r="A410" s="27"/>
      <c r="B410" s="27"/>
      <c r="C410" s="34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5.75" customHeight="1" x14ac:dyDescent="0.2">
      <c r="A411" s="27"/>
      <c r="B411" s="27"/>
      <c r="C411" s="34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5.75" customHeight="1" x14ac:dyDescent="0.2">
      <c r="A412" s="27"/>
      <c r="B412" s="27"/>
      <c r="C412" s="34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5.75" customHeight="1" x14ac:dyDescent="0.2">
      <c r="A413" s="27"/>
      <c r="B413" s="27"/>
      <c r="C413" s="34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5.75" customHeight="1" x14ac:dyDescent="0.2">
      <c r="A414" s="27"/>
      <c r="B414" s="27"/>
      <c r="C414" s="34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5.75" customHeight="1" x14ac:dyDescent="0.2">
      <c r="A415" s="27"/>
      <c r="B415" s="27"/>
      <c r="C415" s="34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5.75" customHeight="1" x14ac:dyDescent="0.2">
      <c r="A416" s="27"/>
      <c r="B416" s="27"/>
      <c r="C416" s="34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5.75" customHeight="1" x14ac:dyDescent="0.2">
      <c r="A417" s="27"/>
      <c r="B417" s="27"/>
      <c r="C417" s="34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5.75" customHeight="1" x14ac:dyDescent="0.2">
      <c r="A418" s="27"/>
      <c r="B418" s="27"/>
      <c r="C418" s="34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5.75" customHeight="1" x14ac:dyDescent="0.2">
      <c r="A419" s="27"/>
      <c r="B419" s="27"/>
      <c r="C419" s="34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5.75" customHeight="1" x14ac:dyDescent="0.2">
      <c r="A420" s="27"/>
      <c r="B420" s="27"/>
      <c r="C420" s="34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5.75" customHeight="1" x14ac:dyDescent="0.2">
      <c r="A421" s="27"/>
      <c r="B421" s="27"/>
      <c r="C421" s="34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5.75" customHeight="1" x14ac:dyDescent="0.2">
      <c r="A422" s="27"/>
      <c r="B422" s="27"/>
      <c r="C422" s="34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5.75" customHeight="1" x14ac:dyDescent="0.2">
      <c r="A423" s="27"/>
      <c r="B423" s="27"/>
      <c r="C423" s="34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5.75" customHeight="1" x14ac:dyDescent="0.2">
      <c r="A424" s="27"/>
      <c r="B424" s="27"/>
      <c r="C424" s="34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5.75" customHeight="1" x14ac:dyDescent="0.2">
      <c r="A425" s="27"/>
      <c r="B425" s="27"/>
      <c r="C425" s="34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5.75" customHeight="1" x14ac:dyDescent="0.2">
      <c r="A426" s="27"/>
      <c r="B426" s="27"/>
      <c r="C426" s="34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5.75" customHeight="1" x14ac:dyDescent="0.2">
      <c r="A427" s="27"/>
      <c r="B427" s="27"/>
      <c r="C427" s="34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5.75" customHeight="1" x14ac:dyDescent="0.2">
      <c r="A428" s="27"/>
      <c r="B428" s="27"/>
      <c r="C428" s="34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5.75" customHeight="1" x14ac:dyDescent="0.2">
      <c r="A429" s="27"/>
      <c r="B429" s="27"/>
      <c r="C429" s="34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5.75" customHeight="1" x14ac:dyDescent="0.2">
      <c r="A430" s="27"/>
      <c r="B430" s="27"/>
      <c r="C430" s="34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5.75" customHeight="1" x14ac:dyDescent="0.2">
      <c r="A431" s="27"/>
      <c r="B431" s="27"/>
      <c r="C431" s="34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5.75" customHeight="1" x14ac:dyDescent="0.2">
      <c r="A432" s="27"/>
      <c r="B432" s="27"/>
      <c r="C432" s="34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5.75" customHeight="1" x14ac:dyDescent="0.2">
      <c r="A433" s="27"/>
      <c r="B433" s="27"/>
      <c r="C433" s="34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5.75" customHeight="1" x14ac:dyDescent="0.2">
      <c r="A434" s="27"/>
      <c r="B434" s="27"/>
      <c r="C434" s="34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5.75" customHeight="1" x14ac:dyDescent="0.2">
      <c r="A435" s="27"/>
      <c r="B435" s="27"/>
      <c r="C435" s="34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5.75" customHeight="1" x14ac:dyDescent="0.2">
      <c r="A436" s="27"/>
      <c r="B436" s="27"/>
      <c r="C436" s="34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5.75" customHeight="1" x14ac:dyDescent="0.2">
      <c r="A437" s="27"/>
      <c r="B437" s="27"/>
      <c r="C437" s="34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5.75" customHeight="1" x14ac:dyDescent="0.2">
      <c r="A438" s="27"/>
      <c r="B438" s="27"/>
      <c r="C438" s="34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5.75" customHeight="1" x14ac:dyDescent="0.2">
      <c r="A439" s="27"/>
      <c r="B439" s="27"/>
      <c r="C439" s="34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5.75" customHeight="1" x14ac:dyDescent="0.2">
      <c r="A440" s="27"/>
      <c r="B440" s="27"/>
      <c r="C440" s="34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5.75" customHeight="1" x14ac:dyDescent="0.2">
      <c r="A441" s="27"/>
      <c r="B441" s="27"/>
      <c r="C441" s="34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5.75" customHeight="1" x14ac:dyDescent="0.2">
      <c r="A442" s="27"/>
      <c r="B442" s="27"/>
      <c r="C442" s="34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5.75" customHeight="1" x14ac:dyDescent="0.2">
      <c r="A443" s="27"/>
      <c r="B443" s="27"/>
      <c r="C443" s="34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5.75" customHeight="1" x14ac:dyDescent="0.2">
      <c r="A444" s="27"/>
      <c r="B444" s="27"/>
      <c r="C444" s="34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5.75" customHeight="1" x14ac:dyDescent="0.2">
      <c r="A445" s="27"/>
      <c r="B445" s="27"/>
      <c r="C445" s="34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5.75" customHeight="1" x14ac:dyDescent="0.2">
      <c r="A446" s="27"/>
      <c r="B446" s="27"/>
      <c r="C446" s="34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5.75" customHeight="1" x14ac:dyDescent="0.2">
      <c r="A447" s="27"/>
      <c r="B447" s="27"/>
      <c r="C447" s="34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5.75" customHeight="1" x14ac:dyDescent="0.2">
      <c r="A448" s="27"/>
      <c r="B448" s="27"/>
      <c r="C448" s="34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5.75" customHeight="1" x14ac:dyDescent="0.2">
      <c r="A449" s="27"/>
      <c r="B449" s="27"/>
      <c r="C449" s="34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5.75" customHeight="1" x14ac:dyDescent="0.2">
      <c r="A450" s="27"/>
      <c r="B450" s="27"/>
      <c r="C450" s="34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5.75" customHeight="1" x14ac:dyDescent="0.2">
      <c r="A451" s="27"/>
      <c r="B451" s="27"/>
      <c r="C451" s="34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5.75" customHeight="1" x14ac:dyDescent="0.2">
      <c r="A452" s="27"/>
      <c r="B452" s="27"/>
      <c r="C452" s="34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5.75" customHeight="1" x14ac:dyDescent="0.2">
      <c r="A453" s="27"/>
      <c r="B453" s="27"/>
      <c r="C453" s="34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5.75" customHeight="1" x14ac:dyDescent="0.2">
      <c r="A454" s="27"/>
      <c r="B454" s="27"/>
      <c r="C454" s="34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5.75" customHeight="1" x14ac:dyDescent="0.2">
      <c r="A455" s="27"/>
      <c r="B455" s="27"/>
      <c r="C455" s="34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5.75" customHeight="1" x14ac:dyDescent="0.2">
      <c r="A456" s="27"/>
      <c r="B456" s="27"/>
      <c r="C456" s="34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5.75" customHeight="1" x14ac:dyDescent="0.2">
      <c r="A457" s="27"/>
      <c r="B457" s="27"/>
      <c r="C457" s="34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5.75" customHeight="1" x14ac:dyDescent="0.2">
      <c r="A458" s="27"/>
      <c r="B458" s="27"/>
      <c r="C458" s="34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5.75" customHeight="1" x14ac:dyDescent="0.2">
      <c r="A459" s="27"/>
      <c r="B459" s="27"/>
      <c r="C459" s="34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5.75" customHeight="1" x14ac:dyDescent="0.2">
      <c r="A460" s="27"/>
      <c r="B460" s="27"/>
      <c r="C460" s="34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5.75" customHeight="1" x14ac:dyDescent="0.2">
      <c r="A461" s="27"/>
      <c r="B461" s="27"/>
      <c r="C461" s="34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5.75" customHeight="1" x14ac:dyDescent="0.2">
      <c r="A462" s="27"/>
      <c r="B462" s="27"/>
      <c r="C462" s="34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5.75" customHeight="1" x14ac:dyDescent="0.2">
      <c r="A463" s="27"/>
      <c r="B463" s="27"/>
      <c r="C463" s="34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5.75" customHeight="1" x14ac:dyDescent="0.2">
      <c r="A464" s="27"/>
      <c r="B464" s="27"/>
      <c r="C464" s="34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5.75" customHeight="1" x14ac:dyDescent="0.2">
      <c r="A465" s="27"/>
      <c r="B465" s="27"/>
      <c r="C465" s="34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5.75" customHeight="1" x14ac:dyDescent="0.2">
      <c r="A466" s="27"/>
      <c r="B466" s="27"/>
      <c r="C466" s="34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5.75" customHeight="1" x14ac:dyDescent="0.2">
      <c r="A467" s="27"/>
      <c r="B467" s="27"/>
      <c r="C467" s="34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5.75" customHeight="1" x14ac:dyDescent="0.2">
      <c r="A468" s="27"/>
      <c r="B468" s="27"/>
      <c r="C468" s="34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5.75" customHeight="1" x14ac:dyDescent="0.2">
      <c r="A469" s="27"/>
      <c r="B469" s="27"/>
      <c r="C469" s="34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5.75" customHeight="1" x14ac:dyDescent="0.2">
      <c r="A470" s="27"/>
      <c r="B470" s="27"/>
      <c r="C470" s="34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5.75" customHeight="1" x14ac:dyDescent="0.2">
      <c r="A471" s="27"/>
      <c r="B471" s="27"/>
      <c r="C471" s="34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5.75" customHeight="1" x14ac:dyDescent="0.2">
      <c r="A472" s="27"/>
      <c r="B472" s="27"/>
      <c r="C472" s="34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5.75" customHeight="1" x14ac:dyDescent="0.2">
      <c r="A473" s="27"/>
      <c r="B473" s="27"/>
      <c r="C473" s="34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5.75" customHeight="1" x14ac:dyDescent="0.2">
      <c r="A474" s="27"/>
      <c r="B474" s="27"/>
      <c r="C474" s="34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5.75" customHeight="1" x14ac:dyDescent="0.2">
      <c r="A475" s="27"/>
      <c r="B475" s="27"/>
      <c r="C475" s="34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5.75" customHeight="1" x14ac:dyDescent="0.2">
      <c r="A476" s="27"/>
      <c r="B476" s="27"/>
      <c r="C476" s="34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5.75" customHeight="1" x14ac:dyDescent="0.2">
      <c r="A477" s="27"/>
      <c r="B477" s="27"/>
      <c r="C477" s="34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5.75" customHeight="1" x14ac:dyDescent="0.2">
      <c r="A478" s="27"/>
      <c r="B478" s="27"/>
      <c r="C478" s="34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5.75" customHeight="1" x14ac:dyDescent="0.2">
      <c r="A479" s="27"/>
      <c r="B479" s="27"/>
      <c r="C479" s="34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5.75" customHeight="1" x14ac:dyDescent="0.2">
      <c r="A480" s="27"/>
      <c r="B480" s="27"/>
      <c r="C480" s="34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5.75" customHeight="1" x14ac:dyDescent="0.2">
      <c r="A481" s="27"/>
      <c r="B481" s="27"/>
      <c r="C481" s="34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5.75" customHeight="1" x14ac:dyDescent="0.2">
      <c r="A482" s="27"/>
      <c r="B482" s="27"/>
      <c r="C482" s="34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5.75" customHeight="1" x14ac:dyDescent="0.2">
      <c r="A483" s="27"/>
      <c r="B483" s="27"/>
      <c r="C483" s="34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5.75" customHeight="1" x14ac:dyDescent="0.2">
      <c r="A484" s="27"/>
      <c r="B484" s="27"/>
      <c r="C484" s="34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5.75" customHeight="1" x14ac:dyDescent="0.2">
      <c r="A485" s="27"/>
      <c r="B485" s="27"/>
      <c r="C485" s="34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5.75" customHeight="1" x14ac:dyDescent="0.2">
      <c r="A486" s="27"/>
      <c r="B486" s="27"/>
      <c r="C486" s="34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5.75" customHeight="1" x14ac:dyDescent="0.2">
      <c r="A487" s="27"/>
      <c r="B487" s="27"/>
      <c r="C487" s="34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5.75" customHeight="1" x14ac:dyDescent="0.2">
      <c r="A488" s="27"/>
      <c r="B488" s="27"/>
      <c r="C488" s="34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5.75" customHeight="1" x14ac:dyDescent="0.2">
      <c r="A489" s="27"/>
      <c r="B489" s="27"/>
      <c r="C489" s="34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5.75" customHeight="1" x14ac:dyDescent="0.2">
      <c r="A490" s="27"/>
      <c r="B490" s="27"/>
      <c r="C490" s="34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5.75" customHeight="1" x14ac:dyDescent="0.2">
      <c r="A491" s="27"/>
      <c r="B491" s="27"/>
      <c r="C491" s="34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5.75" customHeight="1" x14ac:dyDescent="0.2">
      <c r="A492" s="27"/>
      <c r="B492" s="27"/>
      <c r="C492" s="34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5.75" customHeight="1" x14ac:dyDescent="0.2">
      <c r="A493" s="27"/>
      <c r="B493" s="27"/>
      <c r="C493" s="34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5.75" customHeight="1" x14ac:dyDescent="0.2">
      <c r="A494" s="27"/>
      <c r="B494" s="27"/>
      <c r="C494" s="34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5.75" customHeight="1" x14ac:dyDescent="0.2">
      <c r="A495" s="27"/>
      <c r="B495" s="27"/>
      <c r="C495" s="34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5.75" customHeight="1" x14ac:dyDescent="0.2">
      <c r="A496" s="27"/>
      <c r="B496" s="27"/>
      <c r="C496" s="34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5.75" customHeight="1" x14ac:dyDescent="0.2">
      <c r="A497" s="27"/>
      <c r="B497" s="27"/>
      <c r="C497" s="34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5.75" customHeight="1" x14ac:dyDescent="0.2">
      <c r="A498" s="27"/>
      <c r="B498" s="27"/>
      <c r="C498" s="34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5.75" customHeight="1" x14ac:dyDescent="0.2">
      <c r="A499" s="27"/>
      <c r="B499" s="27"/>
      <c r="C499" s="34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5.75" customHeight="1" x14ac:dyDescent="0.2">
      <c r="A500" s="27"/>
      <c r="B500" s="27"/>
      <c r="C500" s="34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5.75" customHeight="1" x14ac:dyDescent="0.2">
      <c r="A501" s="27"/>
      <c r="B501" s="27"/>
      <c r="C501" s="34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5.75" customHeight="1" x14ac:dyDescent="0.2">
      <c r="A502" s="27"/>
      <c r="B502" s="27"/>
      <c r="C502" s="34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5.75" customHeight="1" x14ac:dyDescent="0.2">
      <c r="A503" s="27"/>
      <c r="B503" s="27"/>
      <c r="C503" s="34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5.75" customHeight="1" x14ac:dyDescent="0.2">
      <c r="A504" s="27"/>
      <c r="B504" s="27"/>
      <c r="C504" s="34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5.75" customHeight="1" x14ac:dyDescent="0.2">
      <c r="A505" s="27"/>
      <c r="B505" s="27"/>
      <c r="C505" s="34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5.75" customHeight="1" x14ac:dyDescent="0.2">
      <c r="A506" s="27"/>
      <c r="B506" s="27"/>
      <c r="C506" s="34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5.75" customHeight="1" x14ac:dyDescent="0.2">
      <c r="A507" s="27"/>
      <c r="B507" s="27"/>
      <c r="C507" s="34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5.75" customHeight="1" x14ac:dyDescent="0.2">
      <c r="A508" s="27"/>
      <c r="B508" s="27"/>
      <c r="C508" s="34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5.75" customHeight="1" x14ac:dyDescent="0.2">
      <c r="A509" s="27"/>
      <c r="B509" s="27"/>
      <c r="C509" s="34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5.75" customHeight="1" x14ac:dyDescent="0.2">
      <c r="A510" s="27"/>
      <c r="B510" s="27"/>
      <c r="C510" s="34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5.75" customHeight="1" x14ac:dyDescent="0.2">
      <c r="A511" s="27"/>
      <c r="B511" s="27"/>
      <c r="C511" s="34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5.75" customHeight="1" x14ac:dyDescent="0.2">
      <c r="A512" s="27"/>
      <c r="B512" s="27"/>
      <c r="C512" s="34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5.75" customHeight="1" x14ac:dyDescent="0.2">
      <c r="A513" s="27"/>
      <c r="B513" s="27"/>
      <c r="C513" s="34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5.75" customHeight="1" x14ac:dyDescent="0.2">
      <c r="A514" s="27"/>
      <c r="B514" s="27"/>
      <c r="C514" s="34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5.75" customHeight="1" x14ac:dyDescent="0.2">
      <c r="A515" s="27"/>
      <c r="B515" s="27"/>
      <c r="C515" s="34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5.75" customHeight="1" x14ac:dyDescent="0.2">
      <c r="A516" s="27"/>
      <c r="B516" s="27"/>
      <c r="C516" s="34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5.75" customHeight="1" x14ac:dyDescent="0.2">
      <c r="A517" s="27"/>
      <c r="B517" s="27"/>
      <c r="C517" s="34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5.75" customHeight="1" x14ac:dyDescent="0.2">
      <c r="A518" s="27"/>
      <c r="B518" s="27"/>
      <c r="C518" s="34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5.75" customHeight="1" x14ac:dyDescent="0.2">
      <c r="A519" s="27"/>
      <c r="B519" s="27"/>
      <c r="C519" s="34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5.75" customHeight="1" x14ac:dyDescent="0.2">
      <c r="A520" s="27"/>
      <c r="B520" s="27"/>
      <c r="C520" s="34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5.75" customHeight="1" x14ac:dyDescent="0.2">
      <c r="A521" s="27"/>
      <c r="B521" s="27"/>
      <c r="C521" s="34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5.75" customHeight="1" x14ac:dyDescent="0.2">
      <c r="A522" s="27"/>
      <c r="B522" s="27"/>
      <c r="C522" s="34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5.75" customHeight="1" x14ac:dyDescent="0.2">
      <c r="A523" s="27"/>
      <c r="B523" s="27"/>
      <c r="C523" s="34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5.75" customHeight="1" x14ac:dyDescent="0.2">
      <c r="A524" s="27"/>
      <c r="B524" s="27"/>
      <c r="C524" s="34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5.75" customHeight="1" x14ac:dyDescent="0.2">
      <c r="A525" s="27"/>
      <c r="B525" s="27"/>
      <c r="C525" s="34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5.75" customHeight="1" x14ac:dyDescent="0.2">
      <c r="A526" s="27"/>
      <c r="B526" s="27"/>
      <c r="C526" s="34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5.75" customHeight="1" x14ac:dyDescent="0.2">
      <c r="A527" s="27"/>
      <c r="B527" s="27"/>
      <c r="C527" s="34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5.75" customHeight="1" x14ac:dyDescent="0.2">
      <c r="A528" s="27"/>
      <c r="B528" s="27"/>
      <c r="C528" s="34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5.75" customHeight="1" x14ac:dyDescent="0.2">
      <c r="A529" s="27"/>
      <c r="B529" s="27"/>
      <c r="C529" s="34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5.75" customHeight="1" x14ac:dyDescent="0.2">
      <c r="A530" s="27"/>
      <c r="B530" s="27"/>
      <c r="C530" s="34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5.75" customHeight="1" x14ac:dyDescent="0.2">
      <c r="A531" s="27"/>
      <c r="B531" s="27"/>
      <c r="C531" s="34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5.75" customHeight="1" x14ac:dyDescent="0.2">
      <c r="A532" s="27"/>
      <c r="B532" s="27"/>
      <c r="C532" s="34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5.75" customHeight="1" x14ac:dyDescent="0.2">
      <c r="A533" s="27"/>
      <c r="B533" s="27"/>
      <c r="C533" s="34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customHeight="1" x14ac:dyDescent="0.2">
      <c r="A534" s="27"/>
      <c r="B534" s="27"/>
      <c r="C534" s="34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5.75" customHeight="1" x14ac:dyDescent="0.2">
      <c r="A535" s="27"/>
      <c r="B535" s="27"/>
      <c r="C535" s="34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5.75" customHeight="1" x14ac:dyDescent="0.2">
      <c r="A536" s="27"/>
      <c r="B536" s="27"/>
      <c r="C536" s="34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5.75" customHeight="1" x14ac:dyDescent="0.2">
      <c r="A537" s="27"/>
      <c r="B537" s="27"/>
      <c r="C537" s="34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5.75" customHeight="1" x14ac:dyDescent="0.2">
      <c r="A538" s="27"/>
      <c r="B538" s="27"/>
      <c r="C538" s="34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5.75" customHeight="1" x14ac:dyDescent="0.2">
      <c r="A539" s="27"/>
      <c r="B539" s="27"/>
      <c r="C539" s="34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5.75" customHeight="1" x14ac:dyDescent="0.2">
      <c r="A540" s="27"/>
      <c r="B540" s="27"/>
      <c r="C540" s="34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.75" customHeight="1" x14ac:dyDescent="0.2">
      <c r="A541" s="27"/>
      <c r="B541" s="27"/>
      <c r="C541" s="34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5.75" customHeight="1" x14ac:dyDescent="0.2">
      <c r="A542" s="27"/>
      <c r="B542" s="27"/>
      <c r="C542" s="34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5.75" customHeight="1" x14ac:dyDescent="0.2">
      <c r="A543" s="27"/>
      <c r="B543" s="27"/>
      <c r="C543" s="34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5.75" customHeight="1" x14ac:dyDescent="0.2">
      <c r="A544" s="27"/>
      <c r="B544" s="27"/>
      <c r="C544" s="34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5.75" customHeight="1" x14ac:dyDescent="0.2">
      <c r="A545" s="27"/>
      <c r="B545" s="27"/>
      <c r="C545" s="34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5.75" customHeight="1" x14ac:dyDescent="0.2">
      <c r="A546" s="27"/>
      <c r="B546" s="27"/>
      <c r="C546" s="34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5.75" customHeight="1" x14ac:dyDescent="0.2">
      <c r="A547" s="27"/>
      <c r="B547" s="27"/>
      <c r="C547" s="34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5.75" customHeight="1" x14ac:dyDescent="0.2">
      <c r="A548" s="27"/>
      <c r="B548" s="27"/>
      <c r="C548" s="34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5.75" customHeight="1" x14ac:dyDescent="0.2">
      <c r="A549" s="27"/>
      <c r="B549" s="27"/>
      <c r="C549" s="34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5.75" customHeight="1" x14ac:dyDescent="0.2">
      <c r="A550" s="27"/>
      <c r="B550" s="27"/>
      <c r="C550" s="34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5.75" customHeight="1" x14ac:dyDescent="0.2">
      <c r="A551" s="27"/>
      <c r="B551" s="27"/>
      <c r="C551" s="34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5.75" customHeight="1" x14ac:dyDescent="0.2">
      <c r="A552" s="27"/>
      <c r="B552" s="27"/>
      <c r="C552" s="34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5.75" customHeight="1" x14ac:dyDescent="0.2">
      <c r="A553" s="27"/>
      <c r="B553" s="27"/>
      <c r="C553" s="34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5.75" customHeight="1" x14ac:dyDescent="0.2">
      <c r="A554" s="27"/>
      <c r="B554" s="27"/>
      <c r="C554" s="34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5.75" customHeight="1" x14ac:dyDescent="0.2">
      <c r="A555" s="27"/>
      <c r="B555" s="27"/>
      <c r="C555" s="34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5.75" customHeight="1" x14ac:dyDescent="0.2">
      <c r="A556" s="27"/>
      <c r="B556" s="27"/>
      <c r="C556" s="34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5.75" customHeight="1" x14ac:dyDescent="0.2">
      <c r="A557" s="27"/>
      <c r="B557" s="27"/>
      <c r="C557" s="34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5.75" customHeight="1" x14ac:dyDescent="0.2">
      <c r="A558" s="27"/>
      <c r="B558" s="27"/>
      <c r="C558" s="34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5.75" customHeight="1" x14ac:dyDescent="0.2">
      <c r="A559" s="27"/>
      <c r="B559" s="27"/>
      <c r="C559" s="34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5.75" customHeight="1" x14ac:dyDescent="0.2">
      <c r="A560" s="27"/>
      <c r="B560" s="27"/>
      <c r="C560" s="34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5.75" customHeight="1" x14ac:dyDescent="0.2">
      <c r="A561" s="27"/>
      <c r="B561" s="27"/>
      <c r="C561" s="34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5.75" customHeight="1" x14ac:dyDescent="0.2">
      <c r="A562" s="27"/>
      <c r="B562" s="27"/>
      <c r="C562" s="34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5.75" customHeight="1" x14ac:dyDescent="0.2">
      <c r="A563" s="27"/>
      <c r="B563" s="27"/>
      <c r="C563" s="34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5.75" customHeight="1" x14ac:dyDescent="0.2">
      <c r="A564" s="27"/>
      <c r="B564" s="27"/>
      <c r="C564" s="34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5.75" customHeight="1" x14ac:dyDescent="0.2">
      <c r="A565" s="27"/>
      <c r="B565" s="27"/>
      <c r="C565" s="34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5.75" customHeight="1" x14ac:dyDescent="0.2">
      <c r="A566" s="27"/>
      <c r="B566" s="27"/>
      <c r="C566" s="34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5.75" customHeight="1" x14ac:dyDescent="0.2">
      <c r="A567" s="27"/>
      <c r="B567" s="27"/>
      <c r="C567" s="34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5.75" customHeight="1" x14ac:dyDescent="0.2">
      <c r="A568" s="27"/>
      <c r="B568" s="27"/>
      <c r="C568" s="34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5.75" customHeight="1" x14ac:dyDescent="0.2">
      <c r="A569" s="27"/>
      <c r="B569" s="27"/>
      <c r="C569" s="34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5.75" customHeight="1" x14ac:dyDescent="0.2">
      <c r="A570" s="27"/>
      <c r="B570" s="27"/>
      <c r="C570" s="34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5.75" customHeight="1" x14ac:dyDescent="0.2">
      <c r="A571" s="27"/>
      <c r="B571" s="27"/>
      <c r="C571" s="34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5.75" customHeight="1" x14ac:dyDescent="0.2">
      <c r="A572" s="27"/>
      <c r="B572" s="27"/>
      <c r="C572" s="34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.75" customHeight="1" x14ac:dyDescent="0.2">
      <c r="A573" s="27"/>
      <c r="B573" s="27"/>
      <c r="C573" s="34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5.75" customHeight="1" x14ac:dyDescent="0.2">
      <c r="A574" s="27"/>
      <c r="B574" s="27"/>
      <c r="C574" s="34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5.75" customHeight="1" x14ac:dyDescent="0.2">
      <c r="A575" s="27"/>
      <c r="B575" s="27"/>
      <c r="C575" s="34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5.75" customHeight="1" x14ac:dyDescent="0.2">
      <c r="A576" s="27"/>
      <c r="B576" s="27"/>
      <c r="C576" s="34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5.75" customHeight="1" x14ac:dyDescent="0.2">
      <c r="A577" s="27"/>
      <c r="B577" s="27"/>
      <c r="C577" s="34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5.75" customHeight="1" x14ac:dyDescent="0.2">
      <c r="A578" s="27"/>
      <c r="B578" s="27"/>
      <c r="C578" s="34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5.75" customHeight="1" x14ac:dyDescent="0.2">
      <c r="A579" s="27"/>
      <c r="B579" s="27"/>
      <c r="C579" s="34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5.75" customHeight="1" x14ac:dyDescent="0.2">
      <c r="A580" s="27"/>
      <c r="B580" s="27"/>
      <c r="C580" s="34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5.75" customHeight="1" x14ac:dyDescent="0.2">
      <c r="A581" s="27"/>
      <c r="B581" s="27"/>
      <c r="C581" s="34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5.75" customHeight="1" x14ac:dyDescent="0.2">
      <c r="A582" s="27"/>
      <c r="B582" s="27"/>
      <c r="C582" s="34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5.75" customHeight="1" x14ac:dyDescent="0.2">
      <c r="A583" s="27"/>
      <c r="B583" s="27"/>
      <c r="C583" s="34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5.75" customHeight="1" x14ac:dyDescent="0.2">
      <c r="A584" s="27"/>
      <c r="B584" s="27"/>
      <c r="C584" s="34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5.75" customHeight="1" x14ac:dyDescent="0.2">
      <c r="A585" s="27"/>
      <c r="B585" s="27"/>
      <c r="C585" s="34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5.75" customHeight="1" x14ac:dyDescent="0.2">
      <c r="A586" s="27"/>
      <c r="B586" s="27"/>
      <c r="C586" s="34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5.75" customHeight="1" x14ac:dyDescent="0.2">
      <c r="A587" s="27"/>
      <c r="B587" s="27"/>
      <c r="C587" s="34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5.75" customHeight="1" x14ac:dyDescent="0.2">
      <c r="A588" s="27"/>
      <c r="B588" s="27"/>
      <c r="C588" s="34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5.75" customHeight="1" x14ac:dyDescent="0.2">
      <c r="A589" s="27"/>
      <c r="B589" s="27"/>
      <c r="C589" s="34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5.75" customHeight="1" x14ac:dyDescent="0.2">
      <c r="A590" s="27"/>
      <c r="B590" s="27"/>
      <c r="C590" s="34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5.75" customHeight="1" x14ac:dyDescent="0.2">
      <c r="A591" s="27"/>
      <c r="B591" s="27"/>
      <c r="C591" s="34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5.75" customHeight="1" x14ac:dyDescent="0.2">
      <c r="A592" s="27"/>
      <c r="B592" s="27"/>
      <c r="C592" s="34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5.75" customHeight="1" x14ac:dyDescent="0.2">
      <c r="A593" s="27"/>
      <c r="B593" s="27"/>
      <c r="C593" s="34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5.75" customHeight="1" x14ac:dyDescent="0.2">
      <c r="A594" s="27"/>
      <c r="B594" s="27"/>
      <c r="C594" s="34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5.75" customHeight="1" x14ac:dyDescent="0.2">
      <c r="A595" s="27"/>
      <c r="B595" s="27"/>
      <c r="C595" s="34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5.75" customHeight="1" x14ac:dyDescent="0.2">
      <c r="A596" s="27"/>
      <c r="B596" s="27"/>
      <c r="C596" s="34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5.75" customHeight="1" x14ac:dyDescent="0.2">
      <c r="A597" s="27"/>
      <c r="B597" s="27"/>
      <c r="C597" s="34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5.75" customHeight="1" x14ac:dyDescent="0.2">
      <c r="A598" s="27"/>
      <c r="B598" s="27"/>
      <c r="C598" s="34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5.75" customHeight="1" x14ac:dyDescent="0.2">
      <c r="A599" s="27"/>
      <c r="B599" s="27"/>
      <c r="C599" s="34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5.75" customHeight="1" x14ac:dyDescent="0.2">
      <c r="A600" s="27"/>
      <c r="B600" s="27"/>
      <c r="C600" s="34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5.75" customHeight="1" x14ac:dyDescent="0.2">
      <c r="A601" s="27"/>
      <c r="B601" s="27"/>
      <c r="C601" s="34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5.75" customHeight="1" x14ac:dyDescent="0.2">
      <c r="A602" s="27"/>
      <c r="B602" s="27"/>
      <c r="C602" s="34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5.75" customHeight="1" x14ac:dyDescent="0.2">
      <c r="A603" s="27"/>
      <c r="B603" s="27"/>
      <c r="C603" s="34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5.75" customHeight="1" x14ac:dyDescent="0.2">
      <c r="A604" s="27"/>
      <c r="B604" s="27"/>
      <c r="C604" s="34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5.75" customHeight="1" x14ac:dyDescent="0.2">
      <c r="A605" s="27"/>
      <c r="B605" s="27"/>
      <c r="C605" s="34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5.75" customHeight="1" x14ac:dyDescent="0.2">
      <c r="A606" s="27"/>
      <c r="B606" s="27"/>
      <c r="C606" s="34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5.75" customHeight="1" x14ac:dyDescent="0.2">
      <c r="A607" s="27"/>
      <c r="B607" s="27"/>
      <c r="C607" s="34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5.75" customHeight="1" x14ac:dyDescent="0.2">
      <c r="A608" s="27"/>
      <c r="B608" s="27"/>
      <c r="C608" s="34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5.75" customHeight="1" x14ac:dyDescent="0.2">
      <c r="A609" s="27"/>
      <c r="B609" s="27"/>
      <c r="C609" s="34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5.75" customHeight="1" x14ac:dyDescent="0.2">
      <c r="A610" s="27"/>
      <c r="B610" s="27"/>
      <c r="C610" s="34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5.75" customHeight="1" x14ac:dyDescent="0.2">
      <c r="A611" s="27"/>
      <c r="B611" s="27"/>
      <c r="C611" s="34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5.75" customHeight="1" x14ac:dyDescent="0.2">
      <c r="A612" s="27"/>
      <c r="B612" s="27"/>
      <c r="C612" s="34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5.75" customHeight="1" x14ac:dyDescent="0.2">
      <c r="A613" s="27"/>
      <c r="B613" s="27"/>
      <c r="C613" s="34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5.75" customHeight="1" x14ac:dyDescent="0.2">
      <c r="A614" s="27"/>
      <c r="B614" s="27"/>
      <c r="C614" s="34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5.75" customHeight="1" x14ac:dyDescent="0.2">
      <c r="A615" s="27"/>
      <c r="B615" s="27"/>
      <c r="C615" s="34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5.75" customHeight="1" x14ac:dyDescent="0.2">
      <c r="A616" s="27"/>
      <c r="B616" s="27"/>
      <c r="C616" s="34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5.75" customHeight="1" x14ac:dyDescent="0.2">
      <c r="A617" s="27"/>
      <c r="B617" s="27"/>
      <c r="C617" s="34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5.75" customHeight="1" x14ac:dyDescent="0.2">
      <c r="A618" s="27"/>
      <c r="B618" s="27"/>
      <c r="C618" s="34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5.75" customHeight="1" x14ac:dyDescent="0.2">
      <c r="A619" s="27"/>
      <c r="B619" s="27"/>
      <c r="C619" s="34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5.75" customHeight="1" x14ac:dyDescent="0.2">
      <c r="A620" s="27"/>
      <c r="B620" s="27"/>
      <c r="C620" s="34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5.75" customHeight="1" x14ac:dyDescent="0.2">
      <c r="A621" s="27"/>
      <c r="B621" s="27"/>
      <c r="C621" s="34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5.75" customHeight="1" x14ac:dyDescent="0.2">
      <c r="A622" s="27"/>
      <c r="B622" s="27"/>
      <c r="C622" s="34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5.75" customHeight="1" x14ac:dyDescent="0.2">
      <c r="A623" s="27"/>
      <c r="B623" s="27"/>
      <c r="C623" s="34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5.75" customHeight="1" x14ac:dyDescent="0.2">
      <c r="A624" s="27"/>
      <c r="B624" s="27"/>
      <c r="C624" s="34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5.75" customHeight="1" x14ac:dyDescent="0.2">
      <c r="A625" s="27"/>
      <c r="B625" s="27"/>
      <c r="C625" s="34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5.75" customHeight="1" x14ac:dyDescent="0.2">
      <c r="A626" s="27"/>
      <c r="B626" s="27"/>
      <c r="C626" s="34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5.75" customHeight="1" x14ac:dyDescent="0.2">
      <c r="A627" s="27"/>
      <c r="B627" s="27"/>
      <c r="C627" s="34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5.75" customHeight="1" x14ac:dyDescent="0.2">
      <c r="A628" s="27"/>
      <c r="B628" s="27"/>
      <c r="C628" s="34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5.75" customHeight="1" x14ac:dyDescent="0.2">
      <c r="A629" s="27"/>
      <c r="B629" s="27"/>
      <c r="C629" s="34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5.75" customHeight="1" x14ac:dyDescent="0.2">
      <c r="A630" s="27"/>
      <c r="B630" s="27"/>
      <c r="C630" s="34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5.75" customHeight="1" x14ac:dyDescent="0.2">
      <c r="A631" s="27"/>
      <c r="B631" s="27"/>
      <c r="C631" s="34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5.75" customHeight="1" x14ac:dyDescent="0.2">
      <c r="A632" s="27"/>
      <c r="B632" s="27"/>
      <c r="C632" s="34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5.75" customHeight="1" x14ac:dyDescent="0.2">
      <c r="A633" s="27"/>
      <c r="B633" s="27"/>
      <c r="C633" s="34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5.75" customHeight="1" x14ac:dyDescent="0.2">
      <c r="A634" s="27"/>
      <c r="B634" s="27"/>
      <c r="C634" s="34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5.75" customHeight="1" x14ac:dyDescent="0.2">
      <c r="A635" s="27"/>
      <c r="B635" s="27"/>
      <c r="C635" s="34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5.75" customHeight="1" x14ac:dyDescent="0.2">
      <c r="A636" s="27"/>
      <c r="B636" s="27"/>
      <c r="C636" s="34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5.75" customHeight="1" x14ac:dyDescent="0.2">
      <c r="A637" s="27"/>
      <c r="B637" s="27"/>
      <c r="C637" s="34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5.75" customHeight="1" x14ac:dyDescent="0.2">
      <c r="A638" s="27"/>
      <c r="B638" s="27"/>
      <c r="C638" s="34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5.75" customHeight="1" x14ac:dyDescent="0.2">
      <c r="A639" s="27"/>
      <c r="B639" s="27"/>
      <c r="C639" s="34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5.75" customHeight="1" x14ac:dyDescent="0.2">
      <c r="A640" s="27"/>
      <c r="B640" s="27"/>
      <c r="C640" s="34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5.75" customHeight="1" x14ac:dyDescent="0.2">
      <c r="A641" s="27"/>
      <c r="B641" s="27"/>
      <c r="C641" s="34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5.75" customHeight="1" x14ac:dyDescent="0.2">
      <c r="A642" s="27"/>
      <c r="B642" s="27"/>
      <c r="C642" s="34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5.75" customHeight="1" x14ac:dyDescent="0.2">
      <c r="A643" s="27"/>
      <c r="B643" s="27"/>
      <c r="C643" s="34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5.75" customHeight="1" x14ac:dyDescent="0.2">
      <c r="A644" s="27"/>
      <c r="B644" s="27"/>
      <c r="C644" s="34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5.75" customHeight="1" x14ac:dyDescent="0.2">
      <c r="A645" s="27"/>
      <c r="B645" s="27"/>
      <c r="C645" s="34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5.75" customHeight="1" x14ac:dyDescent="0.2">
      <c r="A646" s="27"/>
      <c r="B646" s="27"/>
      <c r="C646" s="34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5.75" customHeight="1" x14ac:dyDescent="0.2">
      <c r="A647" s="27"/>
      <c r="B647" s="27"/>
      <c r="C647" s="34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5.75" customHeight="1" x14ac:dyDescent="0.2">
      <c r="A648" s="27"/>
      <c r="B648" s="27"/>
      <c r="C648" s="34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5.75" customHeight="1" x14ac:dyDescent="0.2">
      <c r="A649" s="27"/>
      <c r="B649" s="27"/>
      <c r="C649" s="34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5.75" customHeight="1" x14ac:dyDescent="0.2">
      <c r="A650" s="27"/>
      <c r="B650" s="27"/>
      <c r="C650" s="34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5.75" customHeight="1" x14ac:dyDescent="0.2">
      <c r="A651" s="27"/>
      <c r="B651" s="27"/>
      <c r="C651" s="34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5.75" customHeight="1" x14ac:dyDescent="0.2">
      <c r="A652" s="27"/>
      <c r="B652" s="27"/>
      <c r="C652" s="34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5.75" customHeight="1" x14ac:dyDescent="0.2">
      <c r="A653" s="27"/>
      <c r="B653" s="27"/>
      <c r="C653" s="34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5.75" customHeight="1" x14ac:dyDescent="0.2">
      <c r="A654" s="27"/>
      <c r="B654" s="27"/>
      <c r="C654" s="34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5.75" customHeight="1" x14ac:dyDescent="0.2">
      <c r="A655" s="27"/>
      <c r="B655" s="27"/>
      <c r="C655" s="34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5.75" customHeight="1" x14ac:dyDescent="0.2">
      <c r="A656" s="27"/>
      <c r="B656" s="27"/>
      <c r="C656" s="34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5.75" customHeight="1" x14ac:dyDescent="0.2">
      <c r="A657" s="27"/>
      <c r="B657" s="27"/>
      <c r="C657" s="34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5.75" customHeight="1" x14ac:dyDescent="0.2">
      <c r="A658" s="27"/>
      <c r="B658" s="27"/>
      <c r="C658" s="34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5.75" customHeight="1" x14ac:dyDescent="0.2">
      <c r="A659" s="27"/>
      <c r="B659" s="27"/>
      <c r="C659" s="34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5.75" customHeight="1" x14ac:dyDescent="0.2">
      <c r="A660" s="27"/>
      <c r="B660" s="27"/>
      <c r="C660" s="34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5.75" customHeight="1" x14ac:dyDescent="0.2">
      <c r="A661" s="27"/>
      <c r="B661" s="27"/>
      <c r="C661" s="34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5.75" customHeight="1" x14ac:dyDescent="0.2">
      <c r="A662" s="27"/>
      <c r="B662" s="27"/>
      <c r="C662" s="34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5.75" customHeight="1" x14ac:dyDescent="0.2">
      <c r="A663" s="27"/>
      <c r="B663" s="27"/>
      <c r="C663" s="34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5.75" customHeight="1" x14ac:dyDescent="0.2">
      <c r="A664" s="27"/>
      <c r="B664" s="27"/>
      <c r="C664" s="34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5.75" customHeight="1" x14ac:dyDescent="0.2">
      <c r="A665" s="27"/>
      <c r="B665" s="27"/>
      <c r="C665" s="34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5.75" customHeight="1" x14ac:dyDescent="0.2">
      <c r="A666" s="27"/>
      <c r="B666" s="27"/>
      <c r="C666" s="34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5.75" customHeight="1" x14ac:dyDescent="0.2">
      <c r="A667" s="27"/>
      <c r="B667" s="27"/>
      <c r="C667" s="34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5.75" customHeight="1" x14ac:dyDescent="0.2">
      <c r="A668" s="27"/>
      <c r="B668" s="27"/>
      <c r="C668" s="34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5.75" customHeight="1" x14ac:dyDescent="0.2">
      <c r="A669" s="27"/>
      <c r="B669" s="27"/>
      <c r="C669" s="34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5.75" customHeight="1" x14ac:dyDescent="0.2">
      <c r="A670" s="27"/>
      <c r="B670" s="27"/>
      <c r="C670" s="34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5.75" customHeight="1" x14ac:dyDescent="0.2">
      <c r="A671" s="27"/>
      <c r="B671" s="27"/>
      <c r="C671" s="34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5.75" customHeight="1" x14ac:dyDescent="0.2">
      <c r="A672" s="27"/>
      <c r="B672" s="27"/>
      <c r="C672" s="34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5.75" customHeight="1" x14ac:dyDescent="0.2">
      <c r="A673" s="27"/>
      <c r="B673" s="27"/>
      <c r="C673" s="34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5.75" customHeight="1" x14ac:dyDescent="0.2">
      <c r="A674" s="27"/>
      <c r="B674" s="27"/>
      <c r="C674" s="34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5.75" customHeight="1" x14ac:dyDescent="0.2">
      <c r="A675" s="27"/>
      <c r="B675" s="27"/>
      <c r="C675" s="34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5.75" customHeight="1" x14ac:dyDescent="0.2">
      <c r="A676" s="27"/>
      <c r="B676" s="27"/>
      <c r="C676" s="34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5.75" customHeight="1" x14ac:dyDescent="0.2">
      <c r="A677" s="27"/>
      <c r="B677" s="27"/>
      <c r="C677" s="34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5.75" customHeight="1" x14ac:dyDescent="0.2">
      <c r="A678" s="27"/>
      <c r="B678" s="27"/>
      <c r="C678" s="34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5.75" customHeight="1" x14ac:dyDescent="0.2">
      <c r="A679" s="27"/>
      <c r="B679" s="27"/>
      <c r="C679" s="34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5.75" customHeight="1" x14ac:dyDescent="0.2">
      <c r="A680" s="27"/>
      <c r="B680" s="27"/>
      <c r="C680" s="34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5.75" customHeight="1" x14ac:dyDescent="0.2">
      <c r="A681" s="27"/>
      <c r="B681" s="27"/>
      <c r="C681" s="34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5.75" customHeight="1" x14ac:dyDescent="0.2">
      <c r="A682" s="27"/>
      <c r="B682" s="27"/>
      <c r="C682" s="34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5.75" customHeight="1" x14ac:dyDescent="0.2">
      <c r="A683" s="27"/>
      <c r="B683" s="27"/>
      <c r="C683" s="34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5.75" customHeight="1" x14ac:dyDescent="0.2">
      <c r="A684" s="27"/>
      <c r="B684" s="27"/>
      <c r="C684" s="34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5.75" customHeight="1" x14ac:dyDescent="0.2">
      <c r="A685" s="27"/>
      <c r="B685" s="27"/>
      <c r="C685" s="34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5.75" customHeight="1" x14ac:dyDescent="0.2">
      <c r="A686" s="27"/>
      <c r="B686" s="27"/>
      <c r="C686" s="34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5.75" customHeight="1" x14ac:dyDescent="0.2">
      <c r="A687" s="27"/>
      <c r="B687" s="27"/>
      <c r="C687" s="34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5.75" customHeight="1" x14ac:dyDescent="0.2">
      <c r="A688" s="27"/>
      <c r="B688" s="27"/>
      <c r="C688" s="34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5.75" customHeight="1" x14ac:dyDescent="0.2">
      <c r="A689" s="27"/>
      <c r="B689" s="27"/>
      <c r="C689" s="34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5.75" customHeight="1" x14ac:dyDescent="0.2">
      <c r="A690" s="27"/>
      <c r="B690" s="27"/>
      <c r="C690" s="34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5.75" customHeight="1" x14ac:dyDescent="0.2">
      <c r="A691" s="27"/>
      <c r="B691" s="27"/>
      <c r="C691" s="34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5.75" customHeight="1" x14ac:dyDescent="0.2">
      <c r="A692" s="27"/>
      <c r="B692" s="27"/>
      <c r="C692" s="34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5.75" customHeight="1" x14ac:dyDescent="0.2">
      <c r="A693" s="27"/>
      <c r="B693" s="27"/>
      <c r="C693" s="34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5.75" customHeight="1" x14ac:dyDescent="0.2">
      <c r="A694" s="27"/>
      <c r="B694" s="27"/>
      <c r="C694" s="34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5.75" customHeight="1" x14ac:dyDescent="0.2">
      <c r="A695" s="27"/>
      <c r="B695" s="27"/>
      <c r="C695" s="34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5.75" customHeight="1" x14ac:dyDescent="0.2">
      <c r="A696" s="27"/>
      <c r="B696" s="27"/>
      <c r="C696" s="34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5.75" customHeight="1" x14ac:dyDescent="0.2">
      <c r="A697" s="27"/>
      <c r="B697" s="27"/>
      <c r="C697" s="34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5.75" customHeight="1" x14ac:dyDescent="0.2">
      <c r="A698" s="27"/>
      <c r="B698" s="27"/>
      <c r="C698" s="34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5.75" customHeight="1" x14ac:dyDescent="0.2">
      <c r="A699" s="27"/>
      <c r="B699" s="27"/>
      <c r="C699" s="34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5.75" customHeight="1" x14ac:dyDescent="0.2">
      <c r="A700" s="27"/>
      <c r="B700" s="27"/>
      <c r="C700" s="34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5.75" customHeight="1" x14ac:dyDescent="0.2">
      <c r="A701" s="27"/>
      <c r="B701" s="27"/>
      <c r="C701" s="34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5.75" customHeight="1" x14ac:dyDescent="0.2">
      <c r="A702" s="27"/>
      <c r="B702" s="27"/>
      <c r="C702" s="34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5.75" customHeight="1" x14ac:dyDescent="0.2">
      <c r="A703" s="27"/>
      <c r="B703" s="27"/>
      <c r="C703" s="34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5.75" customHeight="1" x14ac:dyDescent="0.2">
      <c r="A704" s="27"/>
      <c r="B704" s="27"/>
      <c r="C704" s="34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5.75" customHeight="1" x14ac:dyDescent="0.2">
      <c r="A705" s="27"/>
      <c r="B705" s="27"/>
      <c r="C705" s="34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5.75" customHeight="1" x14ac:dyDescent="0.2">
      <c r="A706" s="27"/>
      <c r="B706" s="27"/>
      <c r="C706" s="34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5.75" customHeight="1" x14ac:dyDescent="0.2">
      <c r="A707" s="27"/>
      <c r="B707" s="27"/>
      <c r="C707" s="34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5.75" customHeight="1" x14ac:dyDescent="0.2">
      <c r="A708" s="27"/>
      <c r="B708" s="27"/>
      <c r="C708" s="34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5.75" customHeight="1" x14ac:dyDescent="0.2">
      <c r="A709" s="27"/>
      <c r="B709" s="27"/>
      <c r="C709" s="34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5.75" customHeight="1" x14ac:dyDescent="0.2">
      <c r="A710" s="27"/>
      <c r="B710" s="27"/>
      <c r="C710" s="34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5.75" customHeight="1" x14ac:dyDescent="0.2">
      <c r="A711" s="27"/>
      <c r="B711" s="27"/>
      <c r="C711" s="34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5.75" customHeight="1" x14ac:dyDescent="0.2">
      <c r="A712" s="27"/>
      <c r="B712" s="27"/>
      <c r="C712" s="34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5.75" customHeight="1" x14ac:dyDescent="0.2">
      <c r="A713" s="27"/>
      <c r="B713" s="27"/>
      <c r="C713" s="34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5.75" customHeight="1" x14ac:dyDescent="0.2">
      <c r="A714" s="27"/>
      <c r="B714" s="27"/>
      <c r="C714" s="34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5.75" customHeight="1" x14ac:dyDescent="0.2">
      <c r="A715" s="27"/>
      <c r="B715" s="27"/>
      <c r="C715" s="34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5.75" customHeight="1" x14ac:dyDescent="0.2">
      <c r="A716" s="27"/>
      <c r="B716" s="27"/>
      <c r="C716" s="34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5.75" customHeight="1" x14ac:dyDescent="0.2">
      <c r="A717" s="27"/>
      <c r="B717" s="27"/>
      <c r="C717" s="34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5.75" customHeight="1" x14ac:dyDescent="0.2">
      <c r="A718" s="27"/>
      <c r="B718" s="27"/>
      <c r="C718" s="34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5.75" customHeight="1" x14ac:dyDescent="0.2">
      <c r="A719" s="27"/>
      <c r="B719" s="27"/>
      <c r="C719" s="34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5.75" customHeight="1" x14ac:dyDescent="0.2">
      <c r="A720" s="27"/>
      <c r="B720" s="27"/>
      <c r="C720" s="34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5.75" customHeight="1" x14ac:dyDescent="0.2">
      <c r="A721" s="27"/>
      <c r="B721" s="27"/>
      <c r="C721" s="34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5.75" customHeight="1" x14ac:dyDescent="0.2">
      <c r="A722" s="27"/>
      <c r="B722" s="27"/>
      <c r="C722" s="34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5.75" customHeight="1" x14ac:dyDescent="0.2">
      <c r="A723" s="27"/>
      <c r="B723" s="27"/>
      <c r="C723" s="34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5.75" customHeight="1" x14ac:dyDescent="0.2">
      <c r="A724" s="27"/>
      <c r="B724" s="27"/>
      <c r="C724" s="34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5.75" customHeight="1" x14ac:dyDescent="0.2">
      <c r="A725" s="27"/>
      <c r="B725" s="27"/>
      <c r="C725" s="34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5.75" customHeight="1" x14ac:dyDescent="0.2">
      <c r="A726" s="27"/>
      <c r="B726" s="27"/>
      <c r="C726" s="34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5.75" customHeight="1" x14ac:dyDescent="0.2">
      <c r="A727" s="27"/>
      <c r="B727" s="27"/>
      <c r="C727" s="34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5.75" customHeight="1" x14ac:dyDescent="0.2">
      <c r="A728" s="27"/>
      <c r="B728" s="27"/>
      <c r="C728" s="34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5.75" customHeight="1" x14ac:dyDescent="0.2">
      <c r="A729" s="27"/>
      <c r="B729" s="27"/>
      <c r="C729" s="34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5.75" customHeight="1" x14ac:dyDescent="0.2">
      <c r="A730" s="27"/>
      <c r="B730" s="27"/>
      <c r="C730" s="34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5.75" customHeight="1" x14ac:dyDescent="0.2">
      <c r="A731" s="27"/>
      <c r="B731" s="27"/>
      <c r="C731" s="34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5.75" customHeight="1" x14ac:dyDescent="0.2">
      <c r="A732" s="27"/>
      <c r="B732" s="27"/>
      <c r="C732" s="34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5.75" customHeight="1" x14ac:dyDescent="0.2">
      <c r="A733" s="27"/>
      <c r="B733" s="27"/>
      <c r="C733" s="34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5.75" customHeight="1" x14ac:dyDescent="0.2">
      <c r="A734" s="27"/>
      <c r="B734" s="27"/>
      <c r="C734" s="34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5.75" customHeight="1" x14ac:dyDescent="0.2">
      <c r="A735" s="27"/>
      <c r="B735" s="27"/>
      <c r="C735" s="34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5.75" customHeight="1" x14ac:dyDescent="0.2">
      <c r="A736" s="27"/>
      <c r="B736" s="27"/>
      <c r="C736" s="34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5.75" customHeight="1" x14ac:dyDescent="0.2">
      <c r="A737" s="27"/>
      <c r="B737" s="27"/>
      <c r="C737" s="34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5.75" customHeight="1" x14ac:dyDescent="0.2">
      <c r="A738" s="27"/>
      <c r="B738" s="27"/>
      <c r="C738" s="34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5.75" customHeight="1" x14ac:dyDescent="0.2">
      <c r="A739" s="27"/>
      <c r="B739" s="27"/>
      <c r="C739" s="34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5.75" customHeight="1" x14ac:dyDescent="0.2">
      <c r="A740" s="27"/>
      <c r="B740" s="27"/>
      <c r="C740" s="34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5.75" customHeight="1" x14ac:dyDescent="0.2">
      <c r="A741" s="27"/>
      <c r="B741" s="27"/>
      <c r="C741" s="34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5.75" customHeight="1" x14ac:dyDescent="0.2">
      <c r="A742" s="27"/>
      <c r="B742" s="27"/>
      <c r="C742" s="34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5.75" customHeight="1" x14ac:dyDescent="0.2">
      <c r="A743" s="27"/>
      <c r="B743" s="27"/>
      <c r="C743" s="34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5.75" customHeight="1" x14ac:dyDescent="0.2">
      <c r="A744" s="27"/>
      <c r="B744" s="27"/>
      <c r="C744" s="34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5.75" customHeight="1" x14ac:dyDescent="0.2">
      <c r="A745" s="27"/>
      <c r="B745" s="27"/>
      <c r="C745" s="34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5.75" customHeight="1" x14ac:dyDescent="0.2">
      <c r="A746" s="27"/>
      <c r="B746" s="27"/>
      <c r="C746" s="34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5.75" customHeight="1" x14ac:dyDescent="0.2">
      <c r="A747" s="27"/>
      <c r="B747" s="27"/>
      <c r="C747" s="34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5.75" customHeight="1" x14ac:dyDescent="0.2">
      <c r="A748" s="27"/>
      <c r="B748" s="27"/>
      <c r="C748" s="34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5.75" customHeight="1" x14ac:dyDescent="0.2">
      <c r="A749" s="27"/>
      <c r="B749" s="27"/>
      <c r="C749" s="34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5.75" customHeight="1" x14ac:dyDescent="0.2">
      <c r="A750" s="27"/>
      <c r="B750" s="27"/>
      <c r="C750" s="34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5.75" customHeight="1" x14ac:dyDescent="0.2">
      <c r="A751" s="27"/>
      <c r="B751" s="27"/>
      <c r="C751" s="34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5.75" customHeight="1" x14ac:dyDescent="0.2">
      <c r="A752" s="27"/>
      <c r="B752" s="27"/>
      <c r="C752" s="34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5.75" customHeight="1" x14ac:dyDescent="0.2">
      <c r="A753" s="27"/>
      <c r="B753" s="27"/>
      <c r="C753" s="34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5.75" customHeight="1" x14ac:dyDescent="0.2">
      <c r="A754" s="27"/>
      <c r="B754" s="27"/>
      <c r="C754" s="34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5.75" customHeight="1" x14ac:dyDescent="0.2">
      <c r="A755" s="27"/>
      <c r="B755" s="27"/>
      <c r="C755" s="34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5.75" customHeight="1" x14ac:dyDescent="0.2">
      <c r="A756" s="27"/>
      <c r="B756" s="27"/>
      <c r="C756" s="34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5.75" customHeight="1" x14ac:dyDescent="0.2">
      <c r="A757" s="27"/>
      <c r="B757" s="27"/>
      <c r="C757" s="34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5.75" customHeight="1" x14ac:dyDescent="0.2">
      <c r="A758" s="27"/>
      <c r="B758" s="27"/>
      <c r="C758" s="34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5.75" customHeight="1" x14ac:dyDescent="0.2">
      <c r="A759" s="27"/>
      <c r="B759" s="27"/>
      <c r="C759" s="34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5.75" customHeight="1" x14ac:dyDescent="0.2">
      <c r="A760" s="27"/>
      <c r="B760" s="27"/>
      <c r="C760" s="34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5.75" customHeight="1" x14ac:dyDescent="0.2">
      <c r="A761" s="27"/>
      <c r="B761" s="27"/>
      <c r="C761" s="34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5.75" customHeight="1" x14ac:dyDescent="0.2">
      <c r="A762" s="27"/>
      <c r="B762" s="27"/>
      <c r="C762" s="34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5.75" customHeight="1" x14ac:dyDescent="0.2">
      <c r="A763" s="27"/>
      <c r="B763" s="27"/>
      <c r="C763" s="34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5.75" customHeight="1" x14ac:dyDescent="0.2">
      <c r="A764" s="27"/>
      <c r="B764" s="27"/>
      <c r="C764" s="34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5.75" customHeight="1" x14ac:dyDescent="0.2">
      <c r="A765" s="27"/>
      <c r="B765" s="27"/>
      <c r="C765" s="34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5.75" customHeight="1" x14ac:dyDescent="0.2">
      <c r="A766" s="27"/>
      <c r="B766" s="27"/>
      <c r="C766" s="34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5.75" customHeight="1" x14ac:dyDescent="0.2">
      <c r="A767" s="27"/>
      <c r="B767" s="27"/>
      <c r="C767" s="34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5.75" customHeight="1" x14ac:dyDescent="0.2">
      <c r="A768" s="27"/>
      <c r="B768" s="27"/>
      <c r="C768" s="34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5.75" customHeight="1" x14ac:dyDescent="0.2">
      <c r="A769" s="27"/>
      <c r="B769" s="27"/>
      <c r="C769" s="34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5.75" customHeight="1" x14ac:dyDescent="0.2">
      <c r="A770" s="27"/>
      <c r="B770" s="27"/>
      <c r="C770" s="34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5.75" customHeight="1" x14ac:dyDescent="0.2">
      <c r="A771" s="27"/>
      <c r="B771" s="27"/>
      <c r="C771" s="34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5.75" customHeight="1" x14ac:dyDescent="0.2">
      <c r="A772" s="27"/>
      <c r="B772" s="27"/>
      <c r="C772" s="34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5.75" customHeight="1" x14ac:dyDescent="0.2">
      <c r="A773" s="27"/>
      <c r="B773" s="27"/>
      <c r="C773" s="34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5.75" customHeight="1" x14ac:dyDescent="0.2">
      <c r="A774" s="27"/>
      <c r="B774" s="27"/>
      <c r="C774" s="34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5.75" customHeight="1" x14ac:dyDescent="0.2">
      <c r="A775" s="27"/>
      <c r="B775" s="27"/>
      <c r="C775" s="34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5.75" customHeight="1" x14ac:dyDescent="0.2">
      <c r="A776" s="27"/>
      <c r="B776" s="27"/>
      <c r="C776" s="34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5.75" customHeight="1" x14ac:dyDescent="0.2">
      <c r="A777" s="27"/>
      <c r="B777" s="27"/>
      <c r="C777" s="34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5.75" customHeight="1" x14ac:dyDescent="0.2">
      <c r="A778" s="27"/>
      <c r="B778" s="27"/>
      <c r="C778" s="34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5.75" customHeight="1" x14ac:dyDescent="0.2">
      <c r="A779" s="27"/>
      <c r="B779" s="27"/>
      <c r="C779" s="34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5.75" customHeight="1" x14ac:dyDescent="0.2">
      <c r="A780" s="27"/>
      <c r="B780" s="27"/>
      <c r="C780" s="34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5.75" customHeight="1" x14ac:dyDescent="0.2">
      <c r="A781" s="27"/>
      <c r="B781" s="27"/>
      <c r="C781" s="34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5.75" customHeight="1" x14ac:dyDescent="0.2">
      <c r="A782" s="27"/>
      <c r="B782" s="27"/>
      <c r="C782" s="34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5.75" customHeight="1" x14ac:dyDescent="0.2">
      <c r="A783" s="27"/>
      <c r="B783" s="27"/>
      <c r="C783" s="34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5.75" customHeight="1" x14ac:dyDescent="0.2">
      <c r="A784" s="27"/>
      <c r="B784" s="27"/>
      <c r="C784" s="34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5.75" customHeight="1" x14ac:dyDescent="0.2">
      <c r="A785" s="27"/>
      <c r="B785" s="27"/>
      <c r="C785" s="34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5.75" customHeight="1" x14ac:dyDescent="0.2">
      <c r="A786" s="27"/>
      <c r="B786" s="27"/>
      <c r="C786" s="34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5.75" customHeight="1" x14ac:dyDescent="0.2">
      <c r="A787" s="27"/>
      <c r="B787" s="27"/>
      <c r="C787" s="34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5.75" customHeight="1" x14ac:dyDescent="0.2">
      <c r="A788" s="27"/>
      <c r="B788" s="27"/>
      <c r="C788" s="34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5.75" customHeight="1" x14ac:dyDescent="0.2">
      <c r="A789" s="27"/>
      <c r="B789" s="27"/>
      <c r="C789" s="34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5.75" customHeight="1" x14ac:dyDescent="0.2">
      <c r="A790" s="27"/>
      <c r="B790" s="27"/>
      <c r="C790" s="34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5.75" customHeight="1" x14ac:dyDescent="0.2">
      <c r="A791" s="27"/>
      <c r="B791" s="27"/>
      <c r="C791" s="34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5.75" customHeight="1" x14ac:dyDescent="0.2">
      <c r="A792" s="27"/>
      <c r="B792" s="27"/>
      <c r="C792" s="34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5.75" customHeight="1" x14ac:dyDescent="0.2">
      <c r="A793" s="27"/>
      <c r="B793" s="27"/>
      <c r="C793" s="34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5.75" customHeight="1" x14ac:dyDescent="0.2">
      <c r="A794" s="27"/>
      <c r="B794" s="27"/>
      <c r="C794" s="34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5.75" customHeight="1" x14ac:dyDescent="0.2">
      <c r="A795" s="27"/>
      <c r="B795" s="27"/>
      <c r="C795" s="34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5.75" customHeight="1" x14ac:dyDescent="0.2">
      <c r="A796" s="27"/>
      <c r="B796" s="27"/>
      <c r="C796" s="34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5.75" customHeight="1" x14ac:dyDescent="0.2">
      <c r="A797" s="27"/>
      <c r="B797" s="27"/>
      <c r="C797" s="34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5.75" customHeight="1" x14ac:dyDescent="0.2">
      <c r="A798" s="27"/>
      <c r="B798" s="27"/>
      <c r="C798" s="34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5.75" customHeight="1" x14ac:dyDescent="0.2">
      <c r="A799" s="27"/>
      <c r="B799" s="27"/>
      <c r="C799" s="34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5.75" customHeight="1" x14ac:dyDescent="0.2">
      <c r="A800" s="27"/>
      <c r="B800" s="27"/>
      <c r="C800" s="34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5.75" customHeight="1" x14ac:dyDescent="0.2">
      <c r="A801" s="27"/>
      <c r="B801" s="27"/>
      <c r="C801" s="34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5.75" customHeight="1" x14ac:dyDescent="0.2">
      <c r="A802" s="27"/>
      <c r="B802" s="27"/>
      <c r="C802" s="34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5.75" customHeight="1" x14ac:dyDescent="0.2">
      <c r="A803" s="27"/>
      <c r="B803" s="27"/>
      <c r="C803" s="34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5.75" customHeight="1" x14ac:dyDescent="0.2">
      <c r="A804" s="27"/>
      <c r="B804" s="27"/>
      <c r="C804" s="34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5.75" customHeight="1" x14ac:dyDescent="0.2">
      <c r="A805" s="27"/>
      <c r="B805" s="27"/>
      <c r="C805" s="34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5.75" customHeight="1" x14ac:dyDescent="0.2">
      <c r="A806" s="27"/>
      <c r="B806" s="27"/>
      <c r="C806" s="34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5.75" customHeight="1" x14ac:dyDescent="0.2">
      <c r="A807" s="27"/>
      <c r="B807" s="27"/>
      <c r="C807" s="34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5.75" customHeight="1" x14ac:dyDescent="0.2">
      <c r="A808" s="27"/>
      <c r="B808" s="27"/>
      <c r="C808" s="34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5.75" customHeight="1" x14ac:dyDescent="0.2">
      <c r="A809" s="27"/>
      <c r="B809" s="27"/>
      <c r="C809" s="34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5.75" customHeight="1" x14ac:dyDescent="0.2">
      <c r="A810" s="27"/>
      <c r="B810" s="27"/>
      <c r="C810" s="34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5.75" customHeight="1" x14ac:dyDescent="0.2">
      <c r="A811" s="27"/>
      <c r="B811" s="27"/>
      <c r="C811" s="34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5.75" customHeight="1" x14ac:dyDescent="0.2">
      <c r="A812" s="27"/>
      <c r="B812" s="27"/>
      <c r="C812" s="34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5.75" customHeight="1" x14ac:dyDescent="0.2">
      <c r="A813" s="27"/>
      <c r="B813" s="27"/>
      <c r="C813" s="34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5.75" customHeight="1" x14ac:dyDescent="0.2">
      <c r="A814" s="27"/>
      <c r="B814" s="27"/>
      <c r="C814" s="34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5.75" customHeight="1" x14ac:dyDescent="0.2">
      <c r="A815" s="27"/>
      <c r="B815" s="27"/>
      <c r="C815" s="34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5.75" customHeight="1" x14ac:dyDescent="0.2">
      <c r="A816" s="27"/>
      <c r="B816" s="27"/>
      <c r="C816" s="34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5.75" customHeight="1" x14ac:dyDescent="0.2">
      <c r="A817" s="27"/>
      <c r="B817" s="27"/>
      <c r="C817" s="34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5.75" customHeight="1" x14ac:dyDescent="0.2">
      <c r="A818" s="27"/>
      <c r="B818" s="27"/>
      <c r="C818" s="34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5.75" customHeight="1" x14ac:dyDescent="0.2">
      <c r="A819" s="27"/>
      <c r="B819" s="27"/>
      <c r="C819" s="34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5.75" customHeight="1" x14ac:dyDescent="0.2">
      <c r="A820" s="27"/>
      <c r="B820" s="27"/>
      <c r="C820" s="34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5.75" customHeight="1" x14ac:dyDescent="0.2">
      <c r="A821" s="27"/>
      <c r="B821" s="27"/>
      <c r="C821" s="34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5.75" customHeight="1" x14ac:dyDescent="0.2">
      <c r="A822" s="27"/>
      <c r="B822" s="27"/>
      <c r="C822" s="34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5.75" customHeight="1" x14ac:dyDescent="0.2">
      <c r="A823" s="27"/>
      <c r="B823" s="27"/>
      <c r="C823" s="34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5.75" customHeight="1" x14ac:dyDescent="0.2">
      <c r="A824" s="27"/>
      <c r="B824" s="27"/>
      <c r="C824" s="34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5.75" customHeight="1" x14ac:dyDescent="0.2">
      <c r="A825" s="27"/>
      <c r="B825" s="27"/>
      <c r="C825" s="34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5.75" customHeight="1" x14ac:dyDescent="0.2">
      <c r="A826" s="27"/>
      <c r="B826" s="27"/>
      <c r="C826" s="34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5.75" customHeight="1" x14ac:dyDescent="0.2">
      <c r="A827" s="27"/>
      <c r="B827" s="27"/>
      <c r="C827" s="34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5.75" customHeight="1" x14ac:dyDescent="0.2">
      <c r="A828" s="27"/>
      <c r="B828" s="27"/>
      <c r="C828" s="34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5.75" customHeight="1" x14ac:dyDescent="0.2">
      <c r="A829" s="27"/>
      <c r="B829" s="27"/>
      <c r="C829" s="34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5.75" customHeight="1" x14ac:dyDescent="0.2">
      <c r="A830" s="27"/>
      <c r="B830" s="27"/>
      <c r="C830" s="34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5.75" customHeight="1" x14ac:dyDescent="0.2">
      <c r="A831" s="27"/>
      <c r="B831" s="27"/>
      <c r="C831" s="34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5.75" customHeight="1" x14ac:dyDescent="0.2">
      <c r="A832" s="27"/>
      <c r="B832" s="27"/>
      <c r="C832" s="34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5.75" customHeight="1" x14ac:dyDescent="0.2">
      <c r="A833" s="27"/>
      <c r="B833" s="27"/>
      <c r="C833" s="34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5.75" customHeight="1" x14ac:dyDescent="0.2">
      <c r="A834" s="27"/>
      <c r="B834" s="27"/>
      <c r="C834" s="34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5.75" customHeight="1" x14ac:dyDescent="0.2">
      <c r="A835" s="27"/>
      <c r="B835" s="27"/>
      <c r="C835" s="34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5.75" customHeight="1" x14ac:dyDescent="0.2">
      <c r="A836" s="27"/>
      <c r="B836" s="27"/>
      <c r="C836" s="34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5.75" customHeight="1" x14ac:dyDescent="0.2">
      <c r="A837" s="27"/>
      <c r="B837" s="27"/>
      <c r="C837" s="34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5.75" customHeight="1" x14ac:dyDescent="0.2">
      <c r="A838" s="27"/>
      <c r="B838" s="27"/>
      <c r="C838" s="34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5.75" customHeight="1" x14ac:dyDescent="0.2">
      <c r="A839" s="27"/>
      <c r="B839" s="27"/>
      <c r="C839" s="34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5.75" customHeight="1" x14ac:dyDescent="0.2">
      <c r="A840" s="27"/>
      <c r="B840" s="27"/>
      <c r="C840" s="34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5.75" customHeight="1" x14ac:dyDescent="0.2">
      <c r="A841" s="27"/>
      <c r="B841" s="27"/>
      <c r="C841" s="34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5.75" customHeight="1" x14ac:dyDescent="0.2">
      <c r="A842" s="27"/>
      <c r="B842" s="27"/>
      <c r="C842" s="34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5.75" customHeight="1" x14ac:dyDescent="0.2">
      <c r="A843" s="27"/>
      <c r="B843" s="27"/>
      <c r="C843" s="34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5.75" customHeight="1" x14ac:dyDescent="0.2">
      <c r="A844" s="27"/>
      <c r="B844" s="27"/>
      <c r="C844" s="34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5.75" customHeight="1" x14ac:dyDescent="0.2">
      <c r="A845" s="27"/>
      <c r="B845" s="27"/>
      <c r="C845" s="34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5.75" customHeight="1" x14ac:dyDescent="0.2">
      <c r="A846" s="27"/>
      <c r="B846" s="27"/>
      <c r="C846" s="34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5.75" customHeight="1" x14ac:dyDescent="0.2">
      <c r="A847" s="27"/>
      <c r="B847" s="27"/>
      <c r="C847" s="34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5.75" customHeight="1" x14ac:dyDescent="0.2">
      <c r="A848" s="27"/>
      <c r="B848" s="27"/>
      <c r="C848" s="34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5.75" customHeight="1" x14ac:dyDescent="0.2">
      <c r="A849" s="27"/>
      <c r="B849" s="27"/>
      <c r="C849" s="34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5.75" customHeight="1" x14ac:dyDescent="0.2">
      <c r="A850" s="27"/>
      <c r="B850" s="27"/>
      <c r="C850" s="34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5.75" customHeight="1" x14ac:dyDescent="0.2">
      <c r="A851" s="27"/>
      <c r="B851" s="27"/>
      <c r="C851" s="34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5.75" customHeight="1" x14ac:dyDescent="0.2">
      <c r="A852" s="27"/>
      <c r="B852" s="27"/>
      <c r="C852" s="34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5.75" customHeight="1" x14ac:dyDescent="0.2">
      <c r="A853" s="27"/>
      <c r="B853" s="27"/>
      <c r="C853" s="34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5.75" customHeight="1" x14ac:dyDescent="0.2">
      <c r="A854" s="27"/>
      <c r="B854" s="27"/>
      <c r="C854" s="34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5.75" customHeight="1" x14ac:dyDescent="0.2">
      <c r="A855" s="27"/>
      <c r="B855" s="27"/>
      <c r="C855" s="34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5.75" customHeight="1" x14ac:dyDescent="0.2">
      <c r="A856" s="27"/>
      <c r="B856" s="27"/>
      <c r="C856" s="34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5.75" customHeight="1" x14ac:dyDescent="0.2">
      <c r="A857" s="27"/>
      <c r="B857" s="27"/>
      <c r="C857" s="34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5.75" customHeight="1" x14ac:dyDescent="0.2">
      <c r="A858" s="27"/>
      <c r="B858" s="27"/>
      <c r="C858" s="34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5.75" customHeight="1" x14ac:dyDescent="0.2">
      <c r="A859" s="27"/>
      <c r="B859" s="27"/>
      <c r="C859" s="34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5.75" customHeight="1" x14ac:dyDescent="0.2">
      <c r="A860" s="27"/>
      <c r="B860" s="27"/>
      <c r="C860" s="34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5.75" customHeight="1" x14ac:dyDescent="0.2">
      <c r="A861" s="27"/>
      <c r="B861" s="27"/>
      <c r="C861" s="34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5.75" customHeight="1" x14ac:dyDescent="0.2">
      <c r="A862" s="27"/>
      <c r="B862" s="27"/>
      <c r="C862" s="34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5.75" customHeight="1" x14ac:dyDescent="0.2">
      <c r="A863" s="27"/>
      <c r="B863" s="27"/>
      <c r="C863" s="34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5.75" customHeight="1" x14ac:dyDescent="0.2">
      <c r="A864" s="27"/>
      <c r="B864" s="27"/>
      <c r="C864" s="34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5.75" customHeight="1" x14ac:dyDescent="0.2">
      <c r="A865" s="27"/>
      <c r="B865" s="27"/>
      <c r="C865" s="34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5.75" customHeight="1" x14ac:dyDescent="0.2">
      <c r="A866" s="27"/>
      <c r="B866" s="27"/>
      <c r="C866" s="34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5.75" customHeight="1" x14ac:dyDescent="0.2">
      <c r="A867" s="27"/>
      <c r="B867" s="27"/>
      <c r="C867" s="34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5.75" customHeight="1" x14ac:dyDescent="0.2">
      <c r="A868" s="27"/>
      <c r="B868" s="27"/>
      <c r="C868" s="34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5.75" customHeight="1" x14ac:dyDescent="0.2">
      <c r="A869" s="27"/>
      <c r="B869" s="27"/>
      <c r="C869" s="34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5.75" customHeight="1" x14ac:dyDescent="0.2">
      <c r="A870" s="27"/>
      <c r="B870" s="27"/>
      <c r="C870" s="34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5.75" customHeight="1" x14ac:dyDescent="0.2">
      <c r="A871" s="27"/>
      <c r="B871" s="27"/>
      <c r="C871" s="34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5.75" customHeight="1" x14ac:dyDescent="0.2">
      <c r="A872" s="27"/>
      <c r="B872" s="27"/>
      <c r="C872" s="34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5.75" customHeight="1" x14ac:dyDescent="0.2">
      <c r="A873" s="27"/>
      <c r="B873" s="27"/>
      <c r="C873" s="34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5.75" customHeight="1" x14ac:dyDescent="0.2">
      <c r="A874" s="27"/>
      <c r="B874" s="27"/>
      <c r="C874" s="34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5.75" customHeight="1" x14ac:dyDescent="0.2">
      <c r="A875" s="27"/>
      <c r="B875" s="27"/>
      <c r="C875" s="34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5.75" customHeight="1" x14ac:dyDescent="0.2">
      <c r="A876" s="27"/>
      <c r="B876" s="27"/>
      <c r="C876" s="34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5.75" customHeight="1" x14ac:dyDescent="0.2">
      <c r="A877" s="27"/>
      <c r="B877" s="27"/>
      <c r="C877" s="34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5.75" customHeight="1" x14ac:dyDescent="0.2">
      <c r="A878" s="27"/>
      <c r="B878" s="27"/>
      <c r="C878" s="34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5.75" customHeight="1" x14ac:dyDescent="0.2">
      <c r="A879" s="27"/>
      <c r="B879" s="27"/>
      <c r="C879" s="34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5.75" customHeight="1" x14ac:dyDescent="0.2">
      <c r="A880" s="27"/>
      <c r="B880" s="27"/>
      <c r="C880" s="34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5.75" customHeight="1" x14ac:dyDescent="0.2">
      <c r="A881" s="27"/>
      <c r="B881" s="27"/>
      <c r="C881" s="34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5.75" customHeight="1" x14ac:dyDescent="0.2">
      <c r="A882" s="27"/>
      <c r="B882" s="27"/>
      <c r="C882" s="34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5.75" customHeight="1" x14ac:dyDescent="0.2">
      <c r="A883" s="27"/>
      <c r="B883" s="27"/>
      <c r="C883" s="34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5.75" customHeight="1" x14ac:dyDescent="0.2">
      <c r="A884" s="27"/>
      <c r="B884" s="27"/>
      <c r="C884" s="34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5.75" customHeight="1" x14ac:dyDescent="0.2">
      <c r="A885" s="27"/>
      <c r="B885" s="27"/>
      <c r="C885" s="34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5.75" customHeight="1" x14ac:dyDescent="0.2">
      <c r="A886" s="27"/>
      <c r="B886" s="27"/>
      <c r="C886" s="34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5.75" customHeight="1" x14ac:dyDescent="0.2">
      <c r="A887" s="27"/>
      <c r="B887" s="27"/>
      <c r="C887" s="34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5.75" customHeight="1" x14ac:dyDescent="0.2">
      <c r="A888" s="27"/>
      <c r="B888" s="27"/>
      <c r="C888" s="34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5.75" customHeight="1" x14ac:dyDescent="0.2">
      <c r="A889" s="27"/>
      <c r="B889" s="27"/>
      <c r="C889" s="34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5.75" customHeight="1" x14ac:dyDescent="0.2">
      <c r="A890" s="27"/>
      <c r="B890" s="27"/>
      <c r="C890" s="34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5.75" customHeight="1" x14ac:dyDescent="0.2">
      <c r="A891" s="27"/>
      <c r="B891" s="27"/>
      <c r="C891" s="34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5.75" customHeight="1" x14ac:dyDescent="0.2">
      <c r="A892" s="27"/>
      <c r="B892" s="27"/>
      <c r="C892" s="34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5.75" customHeight="1" x14ac:dyDescent="0.2">
      <c r="A893" s="27"/>
      <c r="B893" s="27"/>
      <c r="C893" s="34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5.75" customHeight="1" x14ac:dyDescent="0.2">
      <c r="A894" s="27"/>
      <c r="B894" s="27"/>
      <c r="C894" s="34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5.75" customHeight="1" x14ac:dyDescent="0.2">
      <c r="A895" s="27"/>
      <c r="B895" s="27"/>
      <c r="C895" s="34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5.75" customHeight="1" x14ac:dyDescent="0.2">
      <c r="A896" s="27"/>
      <c r="B896" s="27"/>
      <c r="C896" s="34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5.75" customHeight="1" x14ac:dyDescent="0.2">
      <c r="A897" s="27"/>
      <c r="B897" s="27"/>
      <c r="C897" s="34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5.75" customHeight="1" x14ac:dyDescent="0.2">
      <c r="A898" s="27"/>
      <c r="B898" s="27"/>
      <c r="C898" s="34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5.75" customHeight="1" x14ac:dyDescent="0.2">
      <c r="A899" s="27"/>
      <c r="B899" s="27"/>
      <c r="C899" s="34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5.75" customHeight="1" x14ac:dyDescent="0.2">
      <c r="A900" s="27"/>
      <c r="B900" s="27"/>
      <c r="C900" s="34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5.75" customHeight="1" x14ac:dyDescent="0.2">
      <c r="A901" s="27"/>
      <c r="B901" s="27"/>
      <c r="C901" s="34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5.75" customHeight="1" x14ac:dyDescent="0.2">
      <c r="A902" s="27"/>
      <c r="B902" s="27"/>
      <c r="C902" s="34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5.75" customHeight="1" x14ac:dyDescent="0.2">
      <c r="A903" s="27"/>
      <c r="B903" s="27"/>
      <c r="C903" s="34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5.75" customHeight="1" x14ac:dyDescent="0.2">
      <c r="A904" s="27"/>
      <c r="B904" s="27"/>
      <c r="C904" s="34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5.75" customHeight="1" x14ac:dyDescent="0.2">
      <c r="A905" s="27"/>
      <c r="B905" s="27"/>
      <c r="C905" s="34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5.75" customHeight="1" x14ac:dyDescent="0.2">
      <c r="A906" s="27"/>
      <c r="B906" s="27"/>
      <c r="C906" s="34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5.75" customHeight="1" x14ac:dyDescent="0.2">
      <c r="A907" s="27"/>
      <c r="B907" s="27"/>
      <c r="C907" s="34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5.75" customHeight="1" x14ac:dyDescent="0.2">
      <c r="A908" s="27"/>
      <c r="B908" s="27"/>
      <c r="C908" s="34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5.75" customHeight="1" x14ac:dyDescent="0.2">
      <c r="A909" s="27"/>
      <c r="B909" s="27"/>
      <c r="C909" s="34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5.75" customHeight="1" x14ac:dyDescent="0.2">
      <c r="A910" s="27"/>
      <c r="B910" s="27"/>
      <c r="C910" s="34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5.75" customHeight="1" x14ac:dyDescent="0.2">
      <c r="A911" s="27"/>
      <c r="B911" s="27"/>
      <c r="C911" s="34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5.75" customHeight="1" x14ac:dyDescent="0.2">
      <c r="A912" s="27"/>
      <c r="B912" s="27"/>
      <c r="C912" s="34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5.75" customHeight="1" x14ac:dyDescent="0.2">
      <c r="A913" s="27"/>
      <c r="B913" s="27"/>
      <c r="C913" s="34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5.75" customHeight="1" x14ac:dyDescent="0.2">
      <c r="A914" s="27"/>
      <c r="B914" s="27"/>
      <c r="C914" s="34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5.75" customHeight="1" x14ac:dyDescent="0.2">
      <c r="A915" s="27"/>
      <c r="B915" s="27"/>
      <c r="C915" s="34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5.75" customHeight="1" x14ac:dyDescent="0.2">
      <c r="A916" s="27"/>
      <c r="B916" s="27"/>
      <c r="C916" s="34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5.75" customHeight="1" x14ac:dyDescent="0.2">
      <c r="A917" s="27"/>
      <c r="B917" s="27"/>
      <c r="C917" s="34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5.75" customHeight="1" x14ac:dyDescent="0.2">
      <c r="A918" s="27"/>
      <c r="B918" s="27"/>
      <c r="C918" s="34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5.75" customHeight="1" x14ac:dyDescent="0.2">
      <c r="A919" s="27"/>
      <c r="B919" s="27"/>
      <c r="C919" s="34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5.75" customHeight="1" x14ac:dyDescent="0.2">
      <c r="A920" s="27"/>
      <c r="B920" s="27"/>
      <c r="C920" s="34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5.75" customHeight="1" x14ac:dyDescent="0.2">
      <c r="A921" s="27"/>
      <c r="B921" s="27"/>
      <c r="C921" s="34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5.75" customHeight="1" x14ac:dyDescent="0.2">
      <c r="A922" s="27"/>
      <c r="B922" s="27"/>
      <c r="C922" s="34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5.75" customHeight="1" x14ac:dyDescent="0.2">
      <c r="A923" s="27"/>
      <c r="B923" s="27"/>
      <c r="C923" s="34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5.75" customHeight="1" x14ac:dyDescent="0.2">
      <c r="A924" s="27"/>
      <c r="B924" s="27"/>
      <c r="C924" s="34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5.75" customHeight="1" x14ac:dyDescent="0.2">
      <c r="A925" s="27"/>
      <c r="B925" s="27"/>
      <c r="C925" s="34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5.75" customHeight="1" x14ac:dyDescent="0.2">
      <c r="A926" s="27"/>
      <c r="B926" s="27"/>
      <c r="C926" s="34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5.75" customHeight="1" x14ac:dyDescent="0.2">
      <c r="A927" s="27"/>
      <c r="B927" s="27"/>
      <c r="C927" s="34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5.75" customHeight="1" x14ac:dyDescent="0.2">
      <c r="A928" s="27"/>
      <c r="B928" s="27"/>
      <c r="C928" s="34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5.75" customHeight="1" x14ac:dyDescent="0.2">
      <c r="A929" s="27"/>
      <c r="B929" s="27"/>
      <c r="C929" s="34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5.75" customHeight="1" x14ac:dyDescent="0.2">
      <c r="A930" s="27"/>
      <c r="B930" s="27"/>
      <c r="C930" s="34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5.75" customHeight="1" x14ac:dyDescent="0.2">
      <c r="A931" s="27"/>
      <c r="B931" s="27"/>
      <c r="C931" s="34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5.75" customHeight="1" x14ac:dyDescent="0.2">
      <c r="A932" s="27"/>
      <c r="B932" s="27"/>
      <c r="C932" s="34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5.75" customHeight="1" x14ac:dyDescent="0.2">
      <c r="A933" s="27"/>
      <c r="B933" s="27"/>
      <c r="C933" s="34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5.75" customHeight="1" x14ac:dyDescent="0.2">
      <c r="A934" s="27"/>
      <c r="B934" s="27"/>
      <c r="C934" s="34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5.75" customHeight="1" x14ac:dyDescent="0.2">
      <c r="A935" s="27"/>
      <c r="B935" s="27"/>
      <c r="C935" s="34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5.75" customHeight="1" x14ac:dyDescent="0.2">
      <c r="A936" s="27"/>
      <c r="B936" s="27"/>
      <c r="C936" s="34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5.75" customHeight="1" x14ac:dyDescent="0.2">
      <c r="A937" s="27"/>
      <c r="B937" s="27"/>
      <c r="C937" s="34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5.75" customHeight="1" x14ac:dyDescent="0.2">
      <c r="A938" s="27"/>
      <c r="B938" s="27"/>
      <c r="C938" s="34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5.75" customHeight="1" x14ac:dyDescent="0.2">
      <c r="A939" s="27"/>
      <c r="B939" s="27"/>
      <c r="C939" s="34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5.75" customHeight="1" x14ac:dyDescent="0.2">
      <c r="A940" s="27"/>
      <c r="B940" s="27"/>
      <c r="C940" s="34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5.75" customHeight="1" x14ac:dyDescent="0.2">
      <c r="A941" s="27"/>
      <c r="B941" s="27"/>
      <c r="C941" s="34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5.75" customHeight="1" x14ac:dyDescent="0.2">
      <c r="A942" s="27"/>
      <c r="B942" s="27"/>
      <c r="C942" s="34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5.75" customHeight="1" x14ac:dyDescent="0.2">
      <c r="A943" s="27"/>
      <c r="B943" s="27"/>
      <c r="C943" s="34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5.75" customHeight="1" x14ac:dyDescent="0.2">
      <c r="A944" s="27"/>
      <c r="B944" s="27"/>
      <c r="C944" s="34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5.75" customHeight="1" x14ac:dyDescent="0.2">
      <c r="A945" s="27"/>
      <c r="B945" s="27"/>
      <c r="C945" s="34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5.75" customHeight="1" x14ac:dyDescent="0.2">
      <c r="A946" s="27"/>
      <c r="B946" s="27"/>
      <c r="C946" s="34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5.75" customHeight="1" x14ac:dyDescent="0.2">
      <c r="A947" s="27"/>
      <c r="B947" s="27"/>
      <c r="C947" s="34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5.75" customHeight="1" x14ac:dyDescent="0.2">
      <c r="A948" s="27"/>
      <c r="B948" s="27"/>
      <c r="C948" s="34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5.75" customHeight="1" x14ac:dyDescent="0.2">
      <c r="A949" s="27"/>
      <c r="B949" s="27"/>
      <c r="C949" s="34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customHeight="1" x14ac:dyDescent="0.2">
      <c r="A950" s="27"/>
      <c r="B950" s="27"/>
      <c r="C950" s="34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customHeight="1" x14ac:dyDescent="0.2">
      <c r="A951" s="27"/>
      <c r="B951" s="27"/>
      <c r="C951" s="34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customHeight="1" x14ac:dyDescent="0.2">
      <c r="A952" s="27"/>
      <c r="B952" s="27"/>
      <c r="C952" s="34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5.75" customHeight="1" x14ac:dyDescent="0.2">
      <c r="A953" s="27"/>
      <c r="B953" s="27"/>
      <c r="C953" s="34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5.75" customHeight="1" x14ac:dyDescent="0.2">
      <c r="A954" s="27"/>
      <c r="B954" s="27"/>
      <c r="C954" s="34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5.75" customHeight="1" x14ac:dyDescent="0.2">
      <c r="A955" s="27"/>
      <c r="B955" s="27"/>
      <c r="C955" s="34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5.75" customHeight="1" x14ac:dyDescent="0.2">
      <c r="A956" s="27"/>
      <c r="B956" s="27"/>
      <c r="C956" s="34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5.75" customHeight="1" x14ac:dyDescent="0.2">
      <c r="A957" s="27"/>
      <c r="B957" s="27"/>
      <c r="C957" s="34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5.75" customHeight="1" x14ac:dyDescent="0.2">
      <c r="A958" s="27"/>
      <c r="B958" s="27"/>
      <c r="C958" s="34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5.75" customHeight="1" x14ac:dyDescent="0.2">
      <c r="A959" s="27"/>
      <c r="B959" s="27"/>
      <c r="C959" s="34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5.75" customHeight="1" x14ac:dyDescent="0.2">
      <c r="A960" s="27"/>
      <c r="B960" s="27"/>
      <c r="C960" s="34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5.75" customHeight="1" x14ac:dyDescent="0.2">
      <c r="A961" s="27"/>
      <c r="B961" s="27"/>
      <c r="C961" s="34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5.75" customHeight="1" x14ac:dyDescent="0.2">
      <c r="A962" s="27"/>
      <c r="B962" s="27"/>
      <c r="C962" s="34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5.75" customHeight="1" x14ac:dyDescent="0.2">
      <c r="A963" s="27"/>
      <c r="B963" s="27"/>
      <c r="C963" s="34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customHeight="1" x14ac:dyDescent="0.2">
      <c r="A964" s="27"/>
      <c r="B964" s="27"/>
      <c r="C964" s="34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customHeight="1" x14ac:dyDescent="0.2">
      <c r="A965" s="27"/>
      <c r="B965" s="27"/>
      <c r="C965" s="34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customHeight="1" x14ac:dyDescent="0.2">
      <c r="A966" s="27"/>
      <c r="B966" s="27"/>
      <c r="C966" s="34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5.75" customHeight="1" x14ac:dyDescent="0.2">
      <c r="A967" s="27"/>
      <c r="B967" s="27"/>
      <c r="C967" s="34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5.75" customHeight="1" x14ac:dyDescent="0.2">
      <c r="A968" s="27"/>
      <c r="B968" s="27"/>
      <c r="C968" s="34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5.75" customHeight="1" x14ac:dyDescent="0.2">
      <c r="A969" s="27"/>
      <c r="B969" s="27"/>
      <c r="C969" s="34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5.75" customHeight="1" x14ac:dyDescent="0.2">
      <c r="A970" s="27"/>
      <c r="B970" s="27"/>
      <c r="C970" s="34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5.75" customHeight="1" x14ac:dyDescent="0.2">
      <c r="A971" s="27"/>
      <c r="B971" s="27"/>
      <c r="C971" s="34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5.75" customHeight="1" x14ac:dyDescent="0.2">
      <c r="A972" s="27"/>
      <c r="B972" s="27"/>
      <c r="C972" s="34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5.75" customHeight="1" x14ac:dyDescent="0.2">
      <c r="A973" s="27"/>
      <c r="B973" s="27"/>
      <c r="C973" s="34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5.75" customHeight="1" x14ac:dyDescent="0.2">
      <c r="A974" s="27"/>
      <c r="B974" s="27"/>
      <c r="C974" s="34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5.75" customHeight="1" x14ac:dyDescent="0.2">
      <c r="A975" s="27"/>
      <c r="B975" s="27"/>
      <c r="C975" s="34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5.75" customHeight="1" x14ac:dyDescent="0.2">
      <c r="A976" s="27"/>
      <c r="B976" s="27"/>
      <c r="C976" s="34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5.75" customHeight="1" x14ac:dyDescent="0.2">
      <c r="A977" s="27"/>
      <c r="B977" s="27"/>
      <c r="C977" s="34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5.75" customHeight="1" x14ac:dyDescent="0.2">
      <c r="A978" s="27"/>
      <c r="B978" s="27"/>
      <c r="C978" s="34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5.75" customHeight="1" x14ac:dyDescent="0.2">
      <c r="A979" s="27"/>
      <c r="B979" s="27"/>
      <c r="C979" s="34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5.75" customHeight="1" x14ac:dyDescent="0.2">
      <c r="A980" s="27"/>
      <c r="B980" s="27"/>
      <c r="C980" s="34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5.75" customHeight="1" x14ac:dyDescent="0.2">
      <c r="A981" s="27"/>
      <c r="B981" s="27"/>
      <c r="C981" s="34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5.75" customHeight="1" x14ac:dyDescent="0.2">
      <c r="A982" s="27"/>
      <c r="B982" s="27"/>
      <c r="C982" s="34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5.75" customHeight="1" x14ac:dyDescent="0.2">
      <c r="A983" s="27"/>
      <c r="B983" s="27"/>
      <c r="C983" s="34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5.75" customHeight="1" x14ac:dyDescent="0.2">
      <c r="A984" s="27"/>
      <c r="B984" s="27"/>
      <c r="C984" s="34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5.75" customHeight="1" x14ac:dyDescent="0.2">
      <c r="A985" s="27"/>
      <c r="B985" s="27"/>
      <c r="C985" s="34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5.75" customHeight="1" x14ac:dyDescent="0.2">
      <c r="A986" s="27"/>
      <c r="B986" s="27"/>
      <c r="C986" s="34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5.75" customHeight="1" x14ac:dyDescent="0.2">
      <c r="A987" s="27"/>
      <c r="B987" s="27"/>
      <c r="C987" s="34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5.75" customHeight="1" x14ac:dyDescent="0.2">
      <c r="A988" s="27"/>
      <c r="B988" s="27"/>
      <c r="C988" s="34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5.75" customHeight="1" x14ac:dyDescent="0.2">
      <c r="A989" s="27"/>
      <c r="B989" s="27"/>
      <c r="C989" s="34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5.75" customHeight="1" x14ac:dyDescent="0.2">
      <c r="A990" s="27"/>
      <c r="B990" s="27"/>
      <c r="C990" s="34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5.75" customHeight="1" x14ac:dyDescent="0.2">
      <c r="A991" s="27"/>
      <c r="B991" s="27"/>
      <c r="C991" s="34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5.75" customHeight="1" x14ac:dyDescent="0.2">
      <c r="A992" s="27"/>
      <c r="B992" s="27"/>
      <c r="C992" s="34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5.75" customHeight="1" x14ac:dyDescent="0.2">
      <c r="A993" s="27"/>
      <c r="B993" s="27"/>
      <c r="C993" s="34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5.75" customHeight="1" x14ac:dyDescent="0.2">
      <c r="A994" s="27"/>
      <c r="B994" s="27"/>
      <c r="C994" s="34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5.75" customHeight="1" x14ac:dyDescent="0.2">
      <c r="A995" s="27"/>
      <c r="B995" s="27"/>
      <c r="C995" s="34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5.75" customHeight="1" x14ac:dyDescent="0.2">
      <c r="A996" s="27"/>
      <c r="B996" s="27"/>
      <c r="C996" s="34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5.75" customHeight="1" x14ac:dyDescent="0.2">
      <c r="A997" s="27"/>
      <c r="B997" s="27"/>
      <c r="C997" s="34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5.75" customHeight="1" x14ac:dyDescent="0.2">
      <c r="A998" s="27"/>
      <c r="B998" s="27"/>
      <c r="C998" s="34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5.75" customHeight="1" x14ac:dyDescent="0.2">
      <c r="A999" s="27"/>
      <c r="B999" s="27"/>
      <c r="C999" s="34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5.75" customHeight="1" x14ac:dyDescent="0.2">
      <c r="A1000" s="27"/>
      <c r="B1000" s="27"/>
      <c r="C1000" s="34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C3:D207" xr:uid="{00000000-0009-0000-0000-000001000000}"/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Pre-Contabilización</vt:lpstr>
      <vt:lpstr>Practicas Nuevas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alvaro.arbaiza</dc:creator>
  <cp:lastModifiedBy>Alfredo Perez</cp:lastModifiedBy>
  <dcterms:created xsi:type="dcterms:W3CDTF">2009-05-06T08:13:17Z</dcterms:created>
  <dcterms:modified xsi:type="dcterms:W3CDTF">2026-07-26T00:07:43Z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ingencia" linkTarget="Prop_Contingencia">
    <vt:lpwstr>#¡REF!</vt:lpwstr>
  </property>
  <property fmtid="{D5CDD505-2E9C-101B-9397-08002B2CF9AE}" pid="3" name="Garantia" linkTarget="Prop_Garantia">
    <vt:lpwstr>#¡REF!</vt:lpwstr>
  </property>
  <property fmtid="{D5CDD505-2E9C-101B-9397-08002B2CF9AE}" pid="4" name="MargenComercial" linkTarget="Prop_MargenComercial">
    <vt:lpwstr>#¡REF!</vt:lpwstr>
  </property>
  <property fmtid="{D5CDD505-2E9C-101B-9397-08002B2CF9AE}" pid="5" name="GastosDesp" linkTarget="Prop_GastosDesp">
    <vt:lpwstr>#¡REF!</vt:lpwstr>
  </property>
  <property fmtid="{D5CDD505-2E9C-101B-9397-08002B2CF9AE}" pid="6" name="Total_Oferta" linkTarget="Prop_Total_Oferta">
    <vt:lpwstr>#¡REF!</vt:lpwstr>
  </property>
</Properties>
</file>